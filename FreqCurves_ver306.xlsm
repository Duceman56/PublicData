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mc:AlternateContent xmlns:mc="http://schemas.openxmlformats.org/markup-compatibility/2006">
    <mc:Choice Requires="x15">
      <x15ac:absPath xmlns:x15ac="http://schemas.microsoft.com/office/spreadsheetml/2010/11/ac" url="Q:\StudentCoursework\Faulkner\GEOG.363.001.2241\DUCECR1126\lab5\"/>
    </mc:Choice>
  </mc:AlternateContent>
  <xr:revisionPtr revIDLastSave="0" documentId="13_ncr:1_{415A8E62-E7D2-4BE0-9422-4B8AEF1920F5}" xr6:coauthVersionLast="47" xr6:coauthVersionMax="47" xr10:uidLastSave="{00000000-0000-0000-0000-000000000000}"/>
  <bookViews>
    <workbookView xWindow="-120" yWindow="-120" windowWidth="29040" windowHeight="15720" tabRatio="685" activeTab="2" xr2:uid="{00000000-000D-0000-FFFF-FFFF00000000}"/>
  </bookViews>
  <sheets>
    <sheet name="buttons" sheetId="5" r:id="rId1"/>
    <sheet name="get data" sheetId="10" r:id="rId2"/>
    <sheet name="freq curve" sheetId="2" r:id="rId3"/>
    <sheet name="basic data" sheetId="1" r:id="rId4"/>
    <sheet name="output" sheetId="9" r:id="rId5"/>
    <sheet name="Plate I" sheetId="8" r:id="rId6"/>
    <sheet name="points" sheetId="7" r:id="rId7"/>
    <sheet name="curves" sheetId="3" r:id="rId8"/>
    <sheet name="scale" sheetId="4" r:id="rId9"/>
    <sheet name="K values" sheetId="6"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2" i="7" l="1"/>
  <c r="H82" i="7"/>
  <c r="E82" i="7"/>
  <c r="J81" i="7"/>
  <c r="H81" i="7"/>
  <c r="E81" i="7"/>
  <c r="J80" i="7"/>
  <c r="H80" i="7"/>
  <c r="E80" i="7"/>
  <c r="J79" i="7"/>
  <c r="H79" i="7"/>
  <c r="E79" i="7"/>
  <c r="J78" i="7"/>
  <c r="H78" i="7"/>
  <c r="E78" i="7"/>
  <c r="J77" i="7"/>
  <c r="H77" i="7"/>
  <c r="E77" i="7"/>
  <c r="J76" i="7"/>
  <c r="H76" i="7"/>
  <c r="E76" i="7"/>
  <c r="J75" i="7"/>
  <c r="H75" i="7"/>
  <c r="E75" i="7"/>
  <c r="J74" i="7"/>
  <c r="H74" i="7"/>
  <c r="E74" i="7"/>
  <c r="J73" i="7"/>
  <c r="H73" i="7"/>
  <c r="E73" i="7"/>
  <c r="J72" i="7"/>
  <c r="H72" i="7"/>
  <c r="E72" i="7"/>
  <c r="J71" i="7"/>
  <c r="H71" i="7"/>
  <c r="E71" i="7"/>
  <c r="J70" i="7"/>
  <c r="H70" i="7"/>
  <c r="E70" i="7"/>
  <c r="J69" i="7"/>
  <c r="H69" i="7"/>
  <c r="E69" i="7"/>
  <c r="J68" i="7"/>
  <c r="H68" i="7"/>
  <c r="E68" i="7"/>
  <c r="J67" i="7"/>
  <c r="H67" i="7"/>
  <c r="E67" i="7"/>
  <c r="J66" i="7"/>
  <c r="H66" i="7"/>
  <c r="E66" i="7"/>
  <c r="J65" i="7"/>
  <c r="H65" i="7"/>
  <c r="E65" i="7"/>
  <c r="J64" i="7"/>
  <c r="H64" i="7"/>
  <c r="E64" i="7"/>
  <c r="J63" i="7"/>
  <c r="H63" i="7"/>
  <c r="E63" i="7"/>
  <c r="J62" i="7"/>
  <c r="H62" i="7"/>
  <c r="E62" i="7"/>
  <c r="J61" i="7"/>
  <c r="H61" i="7"/>
  <c r="E61" i="7"/>
  <c r="J60" i="7"/>
  <c r="H60" i="7"/>
  <c r="E60" i="7"/>
  <c r="J59" i="7"/>
  <c r="H59" i="7"/>
  <c r="E59" i="7"/>
  <c r="J58" i="7"/>
  <c r="H58" i="7"/>
  <c r="E58" i="7"/>
  <c r="J57" i="7"/>
  <c r="H57" i="7"/>
  <c r="E57" i="7"/>
  <c r="J56" i="7"/>
  <c r="H56" i="7"/>
  <c r="E56" i="7"/>
  <c r="J55" i="7"/>
  <c r="H55" i="7"/>
  <c r="E55" i="7"/>
  <c r="J54" i="7"/>
  <c r="H54" i="7"/>
  <c r="E54" i="7"/>
  <c r="J53" i="7"/>
  <c r="H53" i="7"/>
  <c r="E53" i="7"/>
  <c r="J52" i="7"/>
  <c r="H52" i="7"/>
  <c r="E52" i="7"/>
  <c r="J51" i="7"/>
  <c r="H51" i="7"/>
  <c r="E51" i="7"/>
  <c r="J50" i="7"/>
  <c r="H50" i="7"/>
  <c r="E50" i="7"/>
  <c r="J49" i="7"/>
  <c r="H49" i="7"/>
  <c r="E49" i="7"/>
  <c r="J48" i="7"/>
  <c r="H48" i="7"/>
  <c r="E48" i="7"/>
  <c r="J47" i="7"/>
  <c r="H47" i="7"/>
  <c r="E47" i="7"/>
  <c r="J46" i="7"/>
  <c r="H46" i="7"/>
  <c r="E46" i="7"/>
  <c r="J45" i="7"/>
  <c r="H45" i="7"/>
  <c r="E45" i="7"/>
  <c r="J44" i="7"/>
  <c r="H44" i="7"/>
  <c r="E44" i="7"/>
  <c r="J43" i="7"/>
  <c r="H43" i="7"/>
  <c r="E43" i="7"/>
  <c r="J42" i="7"/>
  <c r="H42" i="7"/>
  <c r="E42" i="7"/>
  <c r="J41" i="7"/>
  <c r="H41" i="7"/>
  <c r="E41" i="7"/>
  <c r="J40" i="7"/>
  <c r="H40" i="7"/>
  <c r="E40" i="7"/>
  <c r="J39" i="7"/>
  <c r="H39" i="7"/>
  <c r="E39" i="7"/>
  <c r="J38" i="7"/>
  <c r="H38" i="7"/>
  <c r="E38" i="7"/>
  <c r="J37" i="7"/>
  <c r="H37" i="7"/>
  <c r="E37" i="7"/>
  <c r="J36" i="7"/>
  <c r="H36" i="7"/>
  <c r="E36" i="7"/>
  <c r="J35" i="7"/>
  <c r="H35" i="7"/>
  <c r="E35" i="7"/>
  <c r="J34" i="7"/>
  <c r="H34" i="7"/>
  <c r="E34" i="7"/>
  <c r="J33" i="7"/>
  <c r="H33" i="7"/>
  <c r="E33" i="7"/>
  <c r="J32" i="7"/>
  <c r="H32" i="7"/>
  <c r="E32" i="7"/>
  <c r="J31" i="7"/>
  <c r="H31" i="7"/>
  <c r="E31" i="7"/>
  <c r="J30" i="7"/>
  <c r="H30" i="7"/>
  <c r="E30" i="7"/>
  <c r="J29" i="7"/>
  <c r="H29" i="7"/>
  <c r="E29" i="7"/>
  <c r="J28" i="7"/>
  <c r="H28" i="7"/>
  <c r="E28" i="7"/>
  <c r="J27" i="7"/>
  <c r="H27" i="7"/>
  <c r="E27" i="7"/>
  <c r="J26" i="7"/>
  <c r="H26" i="7"/>
  <c r="E26" i="7"/>
  <c r="J25" i="7"/>
  <c r="H25" i="7"/>
  <c r="E25" i="7"/>
  <c r="J24" i="7"/>
  <c r="H24" i="7"/>
  <c r="E24" i="7"/>
  <c r="J23" i="7"/>
  <c r="H23" i="7"/>
  <c r="E23" i="7"/>
  <c r="J22" i="7"/>
  <c r="H22" i="7"/>
  <c r="E22" i="7"/>
  <c r="J21" i="7"/>
  <c r="H21" i="7"/>
  <c r="E21" i="7"/>
  <c r="J20" i="7"/>
  <c r="H20" i="7"/>
  <c r="E20" i="7"/>
  <c r="J19" i="7"/>
  <c r="H19" i="7"/>
  <c r="E19" i="7"/>
  <c r="J18" i="7"/>
  <c r="H18" i="7"/>
  <c r="E18" i="7"/>
  <c r="J17" i="7"/>
  <c r="H17" i="7"/>
  <c r="E17" i="7"/>
  <c r="J16" i="7"/>
  <c r="H16" i="7"/>
  <c r="E16" i="7"/>
  <c r="J15" i="7"/>
  <c r="H15" i="7"/>
  <c r="E15" i="7"/>
  <c r="J14" i="7"/>
  <c r="H14" i="7"/>
  <c r="E14" i="7"/>
  <c r="J13" i="7"/>
  <c r="H13" i="7"/>
  <c r="E13" i="7"/>
  <c r="J12" i="7"/>
  <c r="H12" i="7"/>
  <c r="E12" i="7"/>
  <c r="J11" i="7"/>
  <c r="H11" i="7"/>
  <c r="E11" i="7"/>
  <c r="J10" i="7"/>
  <c r="H10" i="7"/>
  <c r="E10" i="7"/>
  <c r="J9" i="7"/>
  <c r="H9" i="7"/>
  <c r="E9" i="7"/>
  <c r="J8" i="7"/>
  <c r="H8" i="7"/>
  <c r="E8" i="7"/>
  <c r="J7" i="7"/>
  <c r="H7" i="7"/>
  <c r="E7" i="7"/>
  <c r="J6" i="7"/>
  <c r="H6" i="7"/>
  <c r="E6" i="7"/>
  <c r="J5" i="7"/>
  <c r="H5" i="7"/>
  <c r="E5" i="7"/>
  <c r="J4" i="7"/>
  <c r="H4" i="7"/>
  <c r="E4" i="7"/>
  <c r="J3" i="7"/>
  <c r="H3" i="7"/>
  <c r="E3" i="7"/>
  <c r="D10" i="3" l="1"/>
  <c r="E10" i="3" s="1"/>
  <c r="C9" i="9" s="1"/>
  <c r="G10" i="3"/>
  <c r="H10" i="3"/>
  <c r="I10" i="3" l="1"/>
  <c r="K10" i="3" s="1"/>
  <c r="L10" i="3" s="1"/>
  <c r="D9" i="9" s="1"/>
  <c r="J10" i="3"/>
  <c r="M10" i="3" s="1"/>
  <c r="N10" i="3" s="1"/>
  <c r="E9" i="9" s="1"/>
  <c r="B43" i="4"/>
  <c r="D16" i="3"/>
  <c r="S10" i="3" s="1"/>
  <c r="D14" i="3"/>
  <c r="E14" i="3" s="1"/>
  <c r="C13" i="9" s="1"/>
  <c r="D12" i="3"/>
  <c r="S8" i="3" s="1"/>
  <c r="D11" i="3"/>
  <c r="E11" i="3" s="1"/>
  <c r="C10" i="9" s="1"/>
  <c r="D8" i="3"/>
  <c r="S6" i="3" s="1"/>
  <c r="D5" i="3"/>
  <c r="E5" i="3" s="1"/>
  <c r="C4" i="9" s="1"/>
  <c r="C6" i="4"/>
  <c r="B10" i="3" s="1"/>
  <c r="Q9" i="3"/>
  <c r="Q8" i="3"/>
  <c r="Q7" i="3"/>
  <c r="Q6" i="3"/>
  <c r="Q5" i="3"/>
  <c r="B34" i="4"/>
  <c r="G6" i="4" s="1"/>
  <c r="H6" i="4"/>
  <c r="H7" i="4"/>
  <c r="H8" i="4"/>
  <c r="H9" i="4"/>
  <c r="H10" i="4"/>
  <c r="H11" i="4"/>
  <c r="H12" i="4"/>
  <c r="H13" i="4"/>
  <c r="H14" i="4"/>
  <c r="H15" i="4"/>
  <c r="H16" i="4"/>
  <c r="H17" i="4"/>
  <c r="H18" i="4"/>
  <c r="H19" i="4"/>
  <c r="H20" i="4"/>
  <c r="H21" i="4"/>
  <c r="H22" i="4"/>
  <c r="H23" i="4"/>
  <c r="K11" i="1"/>
  <c r="K12" i="1"/>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EF1" i="6"/>
  <c r="EG1" i="6"/>
  <c r="EH1" i="6"/>
  <c r="EI1" i="6"/>
  <c r="EJ1" i="6"/>
  <c r="EK1" i="6"/>
  <c r="EL1" i="6"/>
  <c r="EM1" i="6"/>
  <c r="EN1" i="6"/>
  <c r="EO1" i="6"/>
  <c r="EP1" i="6"/>
  <c r="EQ1" i="6"/>
  <c r="ER1" i="6"/>
  <c r="ES1" i="6"/>
  <c r="ET1" i="6"/>
  <c r="EU1" i="6"/>
  <c r="EV1" i="6"/>
  <c r="EW1" i="6"/>
  <c r="EX1" i="6"/>
  <c r="EY1" i="6"/>
  <c r="EZ1" i="6"/>
  <c r="FA1" i="6"/>
  <c r="FB1" i="6"/>
  <c r="FC1" i="6"/>
  <c r="FD1" i="6"/>
  <c r="FE1" i="6"/>
  <c r="FF1" i="6"/>
  <c r="FG1" i="6"/>
  <c r="FH1" i="6"/>
  <c r="FI1" i="6"/>
  <c r="FJ1" i="6"/>
  <c r="FK1" i="6"/>
  <c r="FL1" i="6"/>
  <c r="FM1" i="6"/>
  <c r="FN1" i="6"/>
  <c r="FO1" i="6"/>
  <c r="FP1" i="6"/>
  <c r="FQ1" i="6"/>
  <c r="FR1" i="6"/>
  <c r="FS1" i="6"/>
  <c r="FT1" i="6"/>
  <c r="FU1" i="6"/>
  <c r="FV1" i="6"/>
  <c r="FW1" i="6"/>
  <c r="FX1" i="6"/>
  <c r="FY1" i="6"/>
  <c r="FZ1" i="6"/>
  <c r="GA1" i="6"/>
  <c r="H24" i="4"/>
  <c r="M6" i="4"/>
  <c r="C7" i="4"/>
  <c r="D7" i="4" s="1"/>
  <c r="H25" i="4"/>
  <c r="L7" i="4"/>
  <c r="L8" i="4" s="1"/>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L67" i="4" s="1"/>
  <c r="L68" i="4" s="1"/>
  <c r="M7" i="4"/>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C8" i="4"/>
  <c r="D8" i="4" s="1"/>
  <c r="H26" i="4"/>
  <c r="C9" i="4"/>
  <c r="D9" i="4" s="1"/>
  <c r="H27" i="4"/>
  <c r="C10" i="4"/>
  <c r="D10" i="4" s="1"/>
  <c r="H28" i="4"/>
  <c r="C11" i="4"/>
  <c r="D11" i="4" s="1"/>
  <c r="H29" i="4"/>
  <c r="C12" i="4"/>
  <c r="D12" i="4" s="1"/>
  <c r="H30" i="4"/>
  <c r="C13" i="4"/>
  <c r="D13" i="4" s="1"/>
  <c r="H31" i="4"/>
  <c r="C14" i="4"/>
  <c r="D14" i="4" s="1"/>
  <c r="H32" i="4"/>
  <c r="C15" i="4"/>
  <c r="D15" i="4" s="1"/>
  <c r="H33" i="4"/>
  <c r="C16" i="4"/>
  <c r="D16" i="4" s="1"/>
  <c r="H34" i="4"/>
  <c r="C17" i="4"/>
  <c r="D17" i="4" s="1"/>
  <c r="H35" i="4"/>
  <c r="C18" i="4"/>
  <c r="D18" i="4" s="1"/>
  <c r="H36" i="4"/>
  <c r="C19" i="4"/>
  <c r="D19" i="4" s="1"/>
  <c r="H37" i="4"/>
  <c r="C20" i="4"/>
  <c r="D20" i="4" s="1"/>
  <c r="H38" i="4"/>
  <c r="C21" i="4"/>
  <c r="D21" i="4" s="1"/>
  <c r="H39" i="4"/>
  <c r="C22" i="4"/>
  <c r="D22" i="4" s="1"/>
  <c r="H40" i="4"/>
  <c r="C23" i="4"/>
  <c r="D23" i="4" s="1"/>
  <c r="H41" i="4"/>
  <c r="C24" i="4"/>
  <c r="D24" i="4" s="1"/>
  <c r="H42" i="4"/>
  <c r="C25" i="4"/>
  <c r="D25" i="4" s="1"/>
  <c r="H43" i="4"/>
  <c r="C26" i="4"/>
  <c r="D26" i="4" s="1"/>
  <c r="H44" i="4"/>
  <c r="C27" i="4"/>
  <c r="D27" i="4" s="1"/>
  <c r="H45" i="4"/>
  <c r="C28" i="4"/>
  <c r="D28" i="4" s="1"/>
  <c r="H46" i="4"/>
  <c r="H47" i="4"/>
  <c r="H48" i="4"/>
  <c r="H49" i="4"/>
  <c r="H50" i="4"/>
  <c r="H51" i="4"/>
  <c r="B35" i="4"/>
  <c r="H70" i="4"/>
  <c r="H71" i="4"/>
  <c r="H72" i="4"/>
  <c r="H73" i="4"/>
  <c r="H74" i="4"/>
  <c r="H75" i="4"/>
  <c r="H76" i="4"/>
  <c r="H77" i="4"/>
  <c r="H78" i="4"/>
  <c r="H79" i="4"/>
  <c r="H80" i="4"/>
  <c r="H81" i="4"/>
  <c r="H82" i="4"/>
  <c r="H83" i="4"/>
  <c r="H84" i="4"/>
  <c r="H85" i="4"/>
  <c r="H86" i="4"/>
  <c r="H87" i="4"/>
  <c r="G5" i="3"/>
  <c r="H5" i="3"/>
  <c r="D6" i="3"/>
  <c r="E6" i="3" s="1"/>
  <c r="C5" i="9" s="1"/>
  <c r="G6" i="3"/>
  <c r="H6" i="3"/>
  <c r="D7" i="3"/>
  <c r="E7" i="3" s="1"/>
  <c r="C6" i="9" s="1"/>
  <c r="G7" i="3"/>
  <c r="H7" i="3"/>
  <c r="G8" i="3"/>
  <c r="H8" i="3"/>
  <c r="D9" i="3"/>
  <c r="E9" i="3" s="1"/>
  <c r="C8" i="9" s="1"/>
  <c r="G9" i="3"/>
  <c r="H9" i="3"/>
  <c r="G11" i="3"/>
  <c r="H11" i="3"/>
  <c r="G12" i="3"/>
  <c r="H12" i="3"/>
  <c r="D13" i="3"/>
  <c r="E13" i="3" s="1"/>
  <c r="C12" i="9" s="1"/>
  <c r="G13" i="3"/>
  <c r="H13" i="3"/>
  <c r="G14" i="3"/>
  <c r="H14" i="3"/>
  <c r="D15" i="3"/>
  <c r="E15" i="3" s="1"/>
  <c r="C14" i="9" s="1"/>
  <c r="G15" i="3"/>
  <c r="H15" i="3"/>
  <c r="G16" i="3"/>
  <c r="H16" i="3"/>
  <c r="D17" i="3"/>
  <c r="E17" i="3" s="1"/>
  <c r="C16" i="9" s="1"/>
  <c r="G17" i="3"/>
  <c r="H17" i="3"/>
  <c r="D18" i="3"/>
  <c r="E18" i="3" s="1"/>
  <c r="C17" i="9" s="1"/>
  <c r="G18" i="3"/>
  <c r="H18" i="3"/>
  <c r="D19" i="3"/>
  <c r="E19" i="3" s="1"/>
  <c r="C18" i="9" s="1"/>
  <c r="G19" i="3"/>
  <c r="H19" i="3"/>
  <c r="D20" i="3"/>
  <c r="E20" i="3" s="1"/>
  <c r="C19" i="9" s="1"/>
  <c r="G20" i="3"/>
  <c r="H20" i="3"/>
  <c r="D21" i="3"/>
  <c r="E21" i="3" s="1"/>
  <c r="C20" i="9" s="1"/>
  <c r="G21" i="3"/>
  <c r="H21" i="3"/>
  <c r="D22" i="3"/>
  <c r="E22" i="3" s="1"/>
  <c r="C21" i="9" s="1"/>
  <c r="G22" i="3"/>
  <c r="H22" i="3"/>
  <c r="D23" i="3"/>
  <c r="E23" i="3" s="1"/>
  <c r="C22" i="9" s="1"/>
  <c r="G23" i="3"/>
  <c r="H23" i="3"/>
  <c r="M16" i="1"/>
  <c r="K19" i="1" s="1"/>
  <c r="L19" i="1" s="1"/>
  <c r="K20" i="1" s="1"/>
  <c r="R6" i="3" l="1"/>
  <c r="D6" i="4"/>
  <c r="G63" i="4"/>
  <c r="G22" i="4"/>
  <c r="G78" i="4"/>
  <c r="B23" i="3"/>
  <c r="B22" i="3"/>
  <c r="G41" i="4"/>
  <c r="B13" i="3"/>
  <c r="B20" i="3"/>
  <c r="B18" i="3"/>
  <c r="B17" i="3"/>
  <c r="B21" i="3"/>
  <c r="B19" i="3"/>
  <c r="B11" i="3"/>
  <c r="G45" i="4"/>
  <c r="G54" i="4"/>
  <c r="G82" i="4"/>
  <c r="G8" i="4"/>
  <c r="G29" i="4"/>
  <c r="G49" i="4"/>
  <c r="G86" i="4"/>
  <c r="G25" i="4"/>
  <c r="G33" i="4"/>
  <c r="G70" i="4"/>
  <c r="G37" i="4"/>
  <c r="G55" i="4"/>
  <c r="G74" i="4"/>
  <c r="G60" i="4"/>
  <c r="G24" i="4"/>
  <c r="G9" i="4"/>
  <c r="G34" i="4"/>
  <c r="G42" i="4"/>
  <c r="G50" i="4"/>
  <c r="G65" i="4"/>
  <c r="G71" i="4"/>
  <c r="G79" i="4"/>
  <c r="G87" i="4"/>
  <c r="G28" i="4"/>
  <c r="G18" i="4"/>
  <c r="G12" i="4"/>
  <c r="G13" i="4"/>
  <c r="G31" i="4"/>
  <c r="G35" i="4"/>
  <c r="G39" i="4"/>
  <c r="G43" i="4"/>
  <c r="G47" i="4"/>
  <c r="G51" i="4"/>
  <c r="G59" i="4"/>
  <c r="G67" i="4"/>
  <c r="G62" i="4"/>
  <c r="G72" i="4"/>
  <c r="G76" i="4"/>
  <c r="G80" i="4"/>
  <c r="G84" i="4"/>
  <c r="G56" i="4"/>
  <c r="G27" i="4"/>
  <c r="G11" i="4"/>
  <c r="G14" i="4"/>
  <c r="G16" i="4"/>
  <c r="G15" i="4"/>
  <c r="G21" i="4"/>
  <c r="G52" i="4"/>
  <c r="G30" i="4"/>
  <c r="G38" i="4"/>
  <c r="G46" i="4"/>
  <c r="G57" i="4"/>
  <c r="G58" i="4"/>
  <c r="G75" i="4"/>
  <c r="G83" i="4"/>
  <c r="G68" i="4"/>
  <c r="G19" i="4"/>
  <c r="G7" i="4"/>
  <c r="G32" i="4"/>
  <c r="G36" i="4"/>
  <c r="G40" i="4"/>
  <c r="G44" i="4"/>
  <c r="G48" i="4"/>
  <c r="G53" i="4"/>
  <c r="G61" i="4"/>
  <c r="G69" i="4"/>
  <c r="G66" i="4"/>
  <c r="G73" i="4"/>
  <c r="G77" i="4"/>
  <c r="G81" i="4"/>
  <c r="G85" i="4"/>
  <c r="G64" i="4"/>
  <c r="G17" i="4"/>
  <c r="G26" i="4"/>
  <c r="G10" i="4"/>
  <c r="G20" i="4"/>
  <c r="G23" i="4"/>
  <c r="R7" i="3"/>
  <c r="R10" i="3"/>
  <c r="J23" i="3"/>
  <c r="M23" i="3" s="1"/>
  <c r="N23" i="3" s="1"/>
  <c r="E22" i="9" s="1"/>
  <c r="I22" i="3"/>
  <c r="K22" i="3" s="1"/>
  <c r="L22" i="3" s="1"/>
  <c r="D21" i="9" s="1"/>
  <c r="I19" i="3"/>
  <c r="K19" i="3" s="1"/>
  <c r="L19" i="3" s="1"/>
  <c r="D18" i="9" s="1"/>
  <c r="I18" i="3"/>
  <c r="K18" i="3" s="1"/>
  <c r="L18" i="3" s="1"/>
  <c r="D17" i="9" s="1"/>
  <c r="J17" i="3"/>
  <c r="M17" i="3" s="1"/>
  <c r="N17" i="3" s="1"/>
  <c r="E16" i="9" s="1"/>
  <c r="I16" i="3"/>
  <c r="K16" i="3" s="1"/>
  <c r="L16" i="3" s="1"/>
  <c r="D15" i="9" s="1"/>
  <c r="J11" i="3"/>
  <c r="M11" i="3" s="1"/>
  <c r="N11" i="3" s="1"/>
  <c r="E10" i="9" s="1"/>
  <c r="K13" i="1"/>
  <c r="K14" i="1" s="1"/>
  <c r="J7" i="3"/>
  <c r="M7" i="3" s="1"/>
  <c r="N7" i="3" s="1"/>
  <c r="E6" i="9" s="1"/>
  <c r="I7" i="3"/>
  <c r="K7" i="3" s="1"/>
  <c r="L7" i="3" s="1"/>
  <c r="D6" i="9" s="1"/>
  <c r="I8" i="3"/>
  <c r="K8" i="3" s="1"/>
  <c r="L8" i="3" s="1"/>
  <c r="D7" i="9" s="1"/>
  <c r="I12" i="3"/>
  <c r="K12" i="3" s="1"/>
  <c r="L12" i="3" s="1"/>
  <c r="D11" i="9" s="1"/>
  <c r="I6" i="3"/>
  <c r="K6" i="3" s="1"/>
  <c r="L6" i="3" s="1"/>
  <c r="D5" i="9" s="1"/>
  <c r="B14" i="3"/>
  <c r="R8" i="3"/>
  <c r="B5" i="3"/>
  <c r="B16" i="3"/>
  <c r="B9" i="3"/>
  <c r="B15" i="3"/>
  <c r="B12" i="3"/>
  <c r="B8" i="3"/>
  <c r="B7" i="3"/>
  <c r="B6" i="3"/>
  <c r="R5" i="3"/>
  <c r="R9" i="3"/>
  <c r="I13" i="3"/>
  <c r="K13" i="3" s="1"/>
  <c r="L13" i="3" s="1"/>
  <c r="D12" i="9" s="1"/>
  <c r="E12" i="3"/>
  <c r="C11" i="9" s="1"/>
  <c r="S5" i="3"/>
  <c r="S9" i="3"/>
  <c r="E8" i="3"/>
  <c r="C7" i="9" s="1"/>
  <c r="J15" i="3"/>
  <c r="M15" i="3" s="1"/>
  <c r="N15" i="3" s="1"/>
  <c r="E14" i="9" s="1"/>
  <c r="J21" i="3"/>
  <c r="M21" i="3" s="1"/>
  <c r="N21" i="3" s="1"/>
  <c r="E20" i="9" s="1"/>
  <c r="I20" i="3"/>
  <c r="K20" i="3" s="1"/>
  <c r="L20" i="3" s="1"/>
  <c r="D19" i="9" s="1"/>
  <c r="J22" i="3"/>
  <c r="M22" i="3" s="1"/>
  <c r="N22" i="3" s="1"/>
  <c r="E21" i="9" s="1"/>
  <c r="J9" i="3"/>
  <c r="M9" i="3" s="1"/>
  <c r="N9" i="3" s="1"/>
  <c r="E8" i="9" s="1"/>
  <c r="E16" i="3"/>
  <c r="C15" i="9" s="1"/>
  <c r="S7" i="3"/>
  <c r="N19" i="1"/>
  <c r="O19" i="1" s="1"/>
  <c r="N20" i="1" s="1"/>
  <c r="I14" i="3"/>
  <c r="K14" i="3" s="1"/>
  <c r="L14" i="3" s="1"/>
  <c r="D13" i="9" s="1"/>
  <c r="J20" i="3"/>
  <c r="M20" i="3" s="1"/>
  <c r="N20" i="3" s="1"/>
  <c r="E19" i="9" s="1"/>
  <c r="I17" i="3"/>
  <c r="K17" i="3" s="1"/>
  <c r="L17" i="3" s="1"/>
  <c r="D16" i="9" s="1"/>
  <c r="J12" i="3"/>
  <c r="M12" i="3" s="1"/>
  <c r="N12" i="3" s="1"/>
  <c r="E11" i="9" s="1"/>
  <c r="I15" i="3"/>
  <c r="K15" i="3" s="1"/>
  <c r="L15" i="3" s="1"/>
  <c r="D14" i="9" s="1"/>
  <c r="J19" i="3"/>
  <c r="M19" i="3" s="1"/>
  <c r="N19" i="3" s="1"/>
  <c r="E18" i="9" s="1"/>
  <c r="I11" i="3"/>
  <c r="K11" i="3" s="1"/>
  <c r="L11" i="3" s="1"/>
  <c r="D10" i="9" s="1"/>
  <c r="J18" i="3"/>
  <c r="M18" i="3" s="1"/>
  <c r="N18" i="3" s="1"/>
  <c r="E17" i="9" s="1"/>
  <c r="J16" i="3"/>
  <c r="M16" i="3" s="1"/>
  <c r="N16" i="3" s="1"/>
  <c r="E15" i="9" s="1"/>
  <c r="J14" i="3"/>
  <c r="M14" i="3" s="1"/>
  <c r="N14" i="3" s="1"/>
  <c r="E13" i="9" s="1"/>
  <c r="I23" i="3"/>
  <c r="K23" i="3" s="1"/>
  <c r="L23" i="3" s="1"/>
  <c r="D22" i="9" s="1"/>
  <c r="J13" i="3"/>
  <c r="M13" i="3" s="1"/>
  <c r="N13" i="3" s="1"/>
  <c r="E12" i="9" s="1"/>
  <c r="I9" i="3"/>
  <c r="K9" i="3" s="1"/>
  <c r="L9" i="3" s="1"/>
  <c r="D8" i="9" s="1"/>
  <c r="I5" i="3"/>
  <c r="K5" i="3" s="1"/>
  <c r="L5" i="3" s="1"/>
  <c r="D4" i="9" s="1"/>
  <c r="I21" i="3"/>
  <c r="K21" i="3" s="1"/>
  <c r="L21" i="3" s="1"/>
  <c r="D20" i="9" s="1"/>
  <c r="J5" i="3"/>
  <c r="M5" i="3" s="1"/>
  <c r="N5" i="3" s="1"/>
  <c r="E4" i="9" s="1"/>
  <c r="J6" i="3"/>
  <c r="M6" i="3" s="1"/>
  <c r="N6" i="3" s="1"/>
  <c r="E5" i="9" s="1"/>
  <c r="J8" i="3"/>
  <c r="M8" i="3" s="1"/>
  <c r="N8" i="3" s="1"/>
  <c r="E7"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moore</author>
    <author>dan.moore</author>
  </authors>
  <commentList>
    <comment ref="F2" authorId="0" shapeId="0" xr:uid="{00000000-0006-0000-0000-000001000000}">
      <text>
        <r>
          <rPr>
            <sz val="8"/>
            <color indexed="81"/>
            <rFont val="Tahoma"/>
            <family val="2"/>
          </rPr>
          <t xml:space="preserve">following the procedures of </t>
        </r>
        <r>
          <rPr>
            <b/>
            <sz val="8"/>
            <color indexed="81"/>
            <rFont val="Tahoma"/>
            <family val="2"/>
          </rPr>
          <t xml:space="preserve">Bulletin 17B </t>
        </r>
        <r>
          <rPr>
            <sz val="8"/>
            <color indexed="81"/>
            <rFont val="Tahoma"/>
            <family val="2"/>
          </rPr>
          <t>of the</t>
        </r>
        <r>
          <rPr>
            <b/>
            <sz val="8"/>
            <color indexed="81"/>
            <rFont val="Tahoma"/>
            <family val="2"/>
          </rPr>
          <t xml:space="preserve"> </t>
        </r>
        <r>
          <rPr>
            <sz val="8"/>
            <color indexed="81"/>
            <rFont val="Tahoma"/>
            <family val="2"/>
          </rPr>
          <t xml:space="preserve">
The Interagency Committee on Water Data</t>
        </r>
        <r>
          <rPr>
            <b/>
            <sz val="8"/>
            <color indexed="81"/>
            <rFont val="Tahoma"/>
            <family val="2"/>
          </rPr>
          <t xml:space="preserve">
"Guidelines for Determining Flood Flow Frequency"</t>
        </r>
      </text>
    </comment>
    <comment ref="I2" authorId="0" shapeId="0" xr:uid="{00000000-0006-0000-0000-000002000000}">
      <text>
        <r>
          <rPr>
            <b/>
            <sz val="8"/>
            <color indexed="81"/>
            <rFont val="Tahoma"/>
            <family val="2"/>
          </rPr>
          <t>dan moore
hydraulic engineer
NRCS Portland Oregon
dan.moore@por.usda.gov</t>
        </r>
        <r>
          <rPr>
            <sz val="8"/>
            <color indexed="81"/>
            <rFont val="Tahoma"/>
            <family val="2"/>
          </rPr>
          <t xml:space="preserve">
</t>
        </r>
        <r>
          <rPr>
            <b/>
            <sz val="8"/>
            <color indexed="81"/>
            <rFont val="Tahoma"/>
            <family val="2"/>
          </rPr>
          <t>(503) 414-3054</t>
        </r>
      </text>
    </comment>
    <comment ref="K2" authorId="0" shapeId="0" xr:uid="{00000000-0006-0000-0000-000003000000}">
      <text>
        <r>
          <rPr>
            <b/>
            <sz val="8"/>
            <color indexed="81"/>
            <rFont val="Tahoma"/>
            <family val="2"/>
          </rPr>
          <t xml:space="preserve">change made for version 3.06:
The "points" sheet now produces a column for
each of the three plot position types which shows
the frequency curve Q value for each observed
point.
</t>
        </r>
      </text>
    </comment>
    <comment ref="I4" authorId="0" shapeId="0" xr:uid="{00000000-0006-0000-0000-000004000000}">
      <text>
        <r>
          <rPr>
            <b/>
            <sz val="8"/>
            <color indexed="81"/>
            <rFont val="Tahoma"/>
            <family val="2"/>
          </rPr>
          <t>When pasting data, the dates may not be
correctly formatted in the cells (Basic Data, column A) but this formatting is automatically checked and corrected in Step 2.
If there are zero flow years in the data, 
the "calculate statistics" button in step 2
will remove them before analysis, storing
them in the outlier list.
Also, if your previous dataset was longer than
the current one, you must remove any old data from rows below the new data.</t>
        </r>
        <r>
          <rPr>
            <sz val="8"/>
            <color indexed="81"/>
            <rFont val="Tahoma"/>
            <family val="2"/>
          </rPr>
          <t xml:space="preserve">
</t>
        </r>
      </text>
    </comment>
    <comment ref="D26" authorId="0" shapeId="0" xr:uid="{00000000-0006-0000-0000-000005000000}">
      <text>
        <r>
          <rPr>
            <sz val="10"/>
            <color indexed="81"/>
            <rFont val="Book Antiqua"/>
            <family val="1"/>
          </rPr>
          <t xml:space="preserve">By default, the skew value used here is the weighted station skew (Cell K14 in "Basic Data")  One could use the unweighted skew (Cell K6 in "Basic Data").  
According to Bulletin 17B, p. 15,  if the difference between the station skew (Cell K14) and the generalized skew (from Plate I, Cell K9 in "Basic Data") is 0.5 or greater, the weighted skew may give too much weight to the generalized skew.  In that case, one may wish to use the unweighted skew, or a value near the weighted skew, but closer to the station skew.
The "test other skews" button allows you to input a test skew, examine the resultant frequency curve, and then return to the previously calculated skew.
</t>
        </r>
        <r>
          <rPr>
            <sz val="8"/>
            <color indexed="81"/>
            <rFont val="Tahoma"/>
            <family val="2"/>
          </rPr>
          <t xml:space="preserve">
</t>
        </r>
      </text>
    </comment>
    <comment ref="H27" authorId="1" shapeId="0" xr:uid="{00000000-0006-0000-0000-000006000000}">
      <text>
        <r>
          <rPr>
            <b/>
            <sz val="8"/>
            <color indexed="81"/>
            <rFont val="Tahoma"/>
            <family val="2"/>
          </rPr>
          <t>This is not the skew read from Plate I.  It is
the weighted skew calculated in "basic data"
cell K14.
Printing a hard copy of the calculated frequency curve before testing may
better facilitate comparison.</t>
        </r>
        <r>
          <rPr>
            <sz val="8"/>
            <color indexed="81"/>
            <rFont val="Tahoma"/>
            <family val="2"/>
          </rPr>
          <t xml:space="preserve">
</t>
        </r>
      </text>
    </comment>
    <comment ref="C37" authorId="1" shapeId="0" xr:uid="{00000000-0006-0000-0000-000007000000}">
      <text>
        <r>
          <rPr>
            <b/>
            <sz val="8"/>
            <color indexed="81"/>
            <rFont val="Tahoma"/>
            <family val="2"/>
          </rPr>
          <t>See Bulletin 17B Appendix 6</t>
        </r>
        <r>
          <rPr>
            <sz val="8"/>
            <color indexed="81"/>
            <rFont val="Tahoma"/>
            <family val="2"/>
          </rPr>
          <t xml:space="preserve">
</t>
        </r>
      </text>
    </comment>
    <comment ref="H38" authorId="1" shapeId="0" xr:uid="{00000000-0006-0000-0000-000008000000}">
      <text>
        <r>
          <rPr>
            <b/>
            <sz val="8"/>
            <color indexed="81"/>
            <rFont val="Tahoma"/>
            <family val="2"/>
          </rPr>
          <t>the above note, an alert about whether or not the current
frequency curve has been historically adjusted,
is produced automatically.</t>
        </r>
        <r>
          <rPr>
            <sz val="8"/>
            <color indexed="81"/>
            <rFont val="Tahoma"/>
            <family val="2"/>
          </rPr>
          <t xml:space="preserve">
</t>
        </r>
      </text>
    </comment>
    <comment ref="C48" authorId="1" shapeId="0" xr:uid="{00000000-0006-0000-0000-000009000000}">
      <text>
        <r>
          <rPr>
            <b/>
            <sz val="8"/>
            <color indexed="81"/>
            <rFont val="Tahoma"/>
            <family val="2"/>
          </rPr>
          <t>See Bulletin 17B Appendix 5</t>
        </r>
        <r>
          <rPr>
            <sz val="8"/>
            <color indexed="81"/>
            <rFont val="Tahoma"/>
            <family val="2"/>
          </rPr>
          <t xml:space="preserve">
</t>
        </r>
      </text>
    </comment>
    <comment ref="J49" authorId="1" shapeId="0" xr:uid="{00000000-0006-0000-0000-00000A000000}">
      <text>
        <r>
          <rPr>
            <b/>
            <sz val="8"/>
            <color indexed="81"/>
            <rFont val="Tahoma"/>
            <family val="2"/>
          </rPr>
          <t>the above note, an alert about whether or not the current
frequency curve has a conditional probability adjustment,
is produced automatically.</t>
        </r>
        <r>
          <rPr>
            <sz val="8"/>
            <color indexed="81"/>
            <rFont val="Tahoma"/>
            <family val="2"/>
          </rPr>
          <t xml:space="preserve">
</t>
        </r>
      </text>
    </comment>
    <comment ref="K71" authorId="1" shapeId="0" xr:uid="{00000000-0006-0000-0000-00000B000000}">
      <text>
        <r>
          <rPr>
            <b/>
            <sz val="8"/>
            <color indexed="81"/>
            <rFont val="Tahoma"/>
            <family val="2"/>
          </rPr>
          <t>The plotting position amounts to an estimate of the exceedance probability of historic events and determines the x-axis coordinate for the observed peak values.  Bulletin 17B specifies the general formula for plotting position on page 26 as P = (m-a)/(N-2a+1) where m is the rank of the observation, N the sample size, and “a” is a constant characteristic of the particular plotting-position formula.  
The plotting position does not affect the calculations for frequency curve, but only the graphical representation of the observed peaks.
Numerous formulas have been proposed over the years, differing by choice of the “a” value.  Bulletin 17B uses the Weibull, for which “a” is assumed zero, and states, “the merits of alternative plotting position formulae were not studied and no recommendation is made.”
Appendix 14 of the bulletin provides commentary pertinent to the choice of plot position formulae, noting that “goodness of fit of a function to the data used in the fitting process is not necessarily a valid criterion for selecting a method that best estimates their frequencies.”  Perhaps the best use of the plotting of observed data, the bulletin goes on to say, would be “…particularly to eliminate methods whose fit is very poor.”  Thus, the methodology adapted by Bulletin 17B resulted from the consideration that “the ultimate objective of any statistical estimation process is not to estimate the most likely theoretical distribution that generated the observed data, but rather to best forecast future events for which a decision is formulated”  (page 14-3).
Available plot position formulae in this spreadsheet, and general tags given in the literature are:
Weibull (1939)  “unbiased for all distributions”
Gringorten (1963) “optimized for the Gumbel distribution”
Cunnane (1978) “approximately quantile-unbiased”</t>
        </r>
        <r>
          <rPr>
            <sz val="8"/>
            <color indexed="81"/>
            <rFont val="Tahoma"/>
            <family val="2"/>
          </rPr>
          <t xml:space="preserve">
</t>
        </r>
      </text>
    </comment>
    <comment ref="L84" authorId="1" shapeId="0" xr:uid="{00000000-0006-0000-0000-00000C000000}">
      <text>
        <r>
          <rPr>
            <b/>
            <sz val="8"/>
            <color indexed="81"/>
            <rFont val="Tahoma"/>
            <family val="2"/>
          </rPr>
          <t>Bulletin 17B, page 24 discusses expected probability and states that the adjustment is "an attempt to incorporate the affects of uncertainty in the application of the [frequency] curve".  It further states that "the decision about use of the expected probability adjustment is a policy decision beyond the scope of this guide.  It is most often used in estimates of annual flood damages and in establishing design flood criteria."
The calculations in this spreadsheet for the expected probability adjustment are adapted from Bulletin 17B, Appendix 11.
Table 11-1 states that the expected probability adjustment may be applicable for distributions with "small skew coefficients".  Leo Beard states in "Practical Flood Frequency Estimates"  that the skew should not "differ greatly from zero".  These being relative terms, it is suggested, somewhat arbitrarily, that the absolute value of the weighted skew (Cell I1 on this sheet) be less than or equal to 1. 
 Plotting of the expected probability curve (purple dashed line) can be turned on or off from the buttons page.</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dmoore</author>
    <author>Moore, Dan - NRCS, Portland, OR</author>
    <author>dan moore</author>
    <author>dan.moore</author>
  </authors>
  <commentList>
    <comment ref="B1" authorId="0" shapeId="0" xr:uid="{00000000-0006-0000-0300-000001000000}">
      <text>
        <r>
          <rPr>
            <b/>
            <sz val="8"/>
            <color indexed="81"/>
            <rFont val="Tahoma"/>
            <family val="2"/>
          </rPr>
          <t>The stream name, placed in cell A1, will automatically be used as the Title for the chart "freq curve"</t>
        </r>
        <r>
          <rPr>
            <sz val="8"/>
            <color indexed="81"/>
            <rFont val="Tahoma"/>
            <family val="2"/>
          </rPr>
          <t xml:space="preserve">
</t>
        </r>
      </text>
    </comment>
    <comment ref="A3" authorId="1" shapeId="0" xr:uid="{00000000-0006-0000-0300-000002000000}">
      <text>
        <r>
          <rPr>
            <b/>
            <sz val="9"/>
            <color indexed="81"/>
            <rFont val="Tahoma"/>
            <family val="2"/>
          </rPr>
          <t>As this data is not used in calculations, all date info may be stored in one column or subdivided by year, month, and day.</t>
        </r>
        <r>
          <rPr>
            <sz val="9"/>
            <color indexed="81"/>
            <rFont val="Tahoma"/>
            <family val="2"/>
          </rPr>
          <t xml:space="preserve">
</t>
        </r>
      </text>
    </comment>
    <comment ref="K9" authorId="2" shapeId="0" xr:uid="{00000000-0006-0000-0300-000003000000}">
      <text>
        <r>
          <rPr>
            <b/>
            <sz val="8"/>
            <color indexed="81"/>
            <rFont val="Tahoma"/>
            <family val="2"/>
          </rPr>
          <t>often obtained from Bulletin 17b, Plate I</t>
        </r>
        <r>
          <rPr>
            <sz val="8"/>
            <color indexed="81"/>
            <rFont val="Tahoma"/>
            <family val="2"/>
          </rPr>
          <t xml:space="preserve">
</t>
        </r>
      </text>
    </comment>
    <comment ref="K10" authorId="2" shapeId="0" xr:uid="{00000000-0006-0000-0300-000004000000}">
      <text>
        <r>
          <rPr>
            <b/>
            <sz val="8"/>
            <color indexed="81"/>
            <rFont val="Tahoma"/>
            <family val="2"/>
          </rPr>
          <t>value = 0.302 when genl G comes from Bulletin 17b Plate I</t>
        </r>
        <r>
          <rPr>
            <sz val="8"/>
            <color indexed="81"/>
            <rFont val="Tahoma"/>
            <family val="2"/>
          </rPr>
          <t xml:space="preserve">
</t>
        </r>
      </text>
    </comment>
    <comment ref="J16" authorId="2" shapeId="0" xr:uid="{00000000-0006-0000-0300-000005000000}">
      <text>
        <r>
          <rPr>
            <b/>
            <sz val="8"/>
            <color indexed="81"/>
            <rFont val="Tahoma"/>
            <family val="2"/>
          </rPr>
          <t>IF G &lt;= +0.4 and &gt;= -0.4
both high outlier and low outlier tests are performed before any 
outliers are eliminated from dataset</t>
        </r>
      </text>
    </comment>
    <comment ref="L16" authorId="2" shapeId="0" xr:uid="{00000000-0006-0000-0300-000006000000}">
      <text>
        <r>
          <rPr>
            <b/>
            <sz val="8"/>
            <color indexed="81"/>
            <rFont val="Tahoma"/>
            <family val="2"/>
          </rPr>
          <t>threshold K value from sheet K values</t>
        </r>
        <r>
          <rPr>
            <sz val="8"/>
            <color indexed="81"/>
            <rFont val="Tahoma"/>
            <family val="2"/>
          </rPr>
          <t xml:space="preserve">
</t>
        </r>
      </text>
    </comment>
    <comment ref="J17" authorId="2" shapeId="0" xr:uid="{00000000-0006-0000-0300-000007000000}">
      <text>
        <r>
          <rPr>
            <b/>
            <sz val="8"/>
            <color indexed="81"/>
            <rFont val="Tahoma"/>
            <family val="2"/>
          </rPr>
          <t>If G &gt; +0.4 high outlier</t>
        </r>
        <r>
          <rPr>
            <sz val="8"/>
            <color indexed="81"/>
            <rFont val="Tahoma"/>
            <family val="2"/>
          </rPr>
          <t xml:space="preserve">
</t>
        </r>
        <r>
          <rPr>
            <b/>
            <sz val="8"/>
            <color indexed="81"/>
            <rFont val="Tahoma"/>
            <family val="2"/>
          </rPr>
          <t>test is performed first.</t>
        </r>
      </text>
    </comment>
    <comment ref="M17" authorId="2" shapeId="0" xr:uid="{00000000-0006-0000-0300-000008000000}">
      <text>
        <r>
          <rPr>
            <b/>
            <sz val="8"/>
            <color indexed="81"/>
            <rFont val="Tahoma"/>
            <family val="2"/>
          </rPr>
          <t>If G &lt; -0.4 low outlier</t>
        </r>
        <r>
          <rPr>
            <sz val="8"/>
            <color indexed="81"/>
            <rFont val="Tahoma"/>
            <family val="2"/>
          </rPr>
          <t xml:space="preserve">
</t>
        </r>
        <r>
          <rPr>
            <b/>
            <sz val="8"/>
            <color indexed="81"/>
            <rFont val="Tahoma"/>
            <family val="2"/>
          </rPr>
          <t>test is performed first</t>
        </r>
      </text>
    </comment>
    <comment ref="J19" authorId="2" shapeId="0" xr:uid="{00000000-0006-0000-0300-000009000000}">
      <text>
        <r>
          <rPr>
            <b/>
            <sz val="8"/>
            <color indexed="81"/>
            <rFont val="Tahoma"/>
            <family val="2"/>
          </rPr>
          <t>threshold of log(peak)</t>
        </r>
        <r>
          <rPr>
            <sz val="8"/>
            <color indexed="81"/>
            <rFont val="Tahoma"/>
            <family val="2"/>
          </rPr>
          <t xml:space="preserve">
</t>
        </r>
        <r>
          <rPr>
            <b/>
            <sz val="8"/>
            <color indexed="81"/>
            <rFont val="Tahoma"/>
            <family val="2"/>
          </rPr>
          <t>for high outliers</t>
        </r>
      </text>
    </comment>
    <comment ref="M19" authorId="2" shapeId="0" xr:uid="{00000000-0006-0000-0300-00000A000000}">
      <text>
        <r>
          <rPr>
            <b/>
            <sz val="8"/>
            <color indexed="81"/>
            <rFont val="Tahoma"/>
            <family val="2"/>
          </rPr>
          <t>threshold of log(peak)</t>
        </r>
        <r>
          <rPr>
            <sz val="8"/>
            <color indexed="81"/>
            <rFont val="Tahoma"/>
            <family val="2"/>
          </rPr>
          <t xml:space="preserve">
</t>
        </r>
        <r>
          <rPr>
            <b/>
            <sz val="8"/>
            <color indexed="81"/>
            <rFont val="Tahoma"/>
            <family val="2"/>
          </rPr>
          <t>for low outliers</t>
        </r>
      </text>
    </comment>
    <comment ref="J21" authorId="0" shapeId="0" xr:uid="{00000000-0006-0000-0300-00000B000000}">
      <text>
        <r>
          <rPr>
            <b/>
            <sz val="8"/>
            <color indexed="81"/>
            <rFont val="Tahoma"/>
            <family val="2"/>
          </rPr>
          <t>outliers remaining
in the dataset</t>
        </r>
        <r>
          <rPr>
            <sz val="8"/>
            <color indexed="81"/>
            <rFont val="Tahoma"/>
            <family val="2"/>
          </rPr>
          <t xml:space="preserve">
</t>
        </r>
      </text>
    </comment>
    <comment ref="M21" authorId="0" shapeId="0" xr:uid="{00000000-0006-0000-0300-00000C000000}">
      <text>
        <r>
          <rPr>
            <b/>
            <sz val="8"/>
            <color indexed="81"/>
            <rFont val="Tahoma"/>
            <family val="2"/>
          </rPr>
          <t>outliers remaining
in the dataset</t>
        </r>
        <r>
          <rPr>
            <sz val="8"/>
            <color indexed="81"/>
            <rFont val="Tahoma"/>
            <family val="2"/>
          </rPr>
          <t xml:space="preserve">
</t>
        </r>
      </text>
    </comment>
    <comment ref="J24" authorId="2" shapeId="0" xr:uid="{00000000-0006-0000-0300-00000D000000}">
      <text>
        <r>
          <rPr>
            <b/>
            <sz val="8"/>
            <color indexed="81"/>
            <rFont val="Tahoma"/>
            <family val="2"/>
          </rPr>
          <t>if any
Outlier data is stored here
along with any historic peaks
from outside the systematic
record.</t>
        </r>
        <r>
          <rPr>
            <sz val="8"/>
            <color indexed="81"/>
            <rFont val="Tahoma"/>
            <family val="2"/>
          </rPr>
          <t xml:space="preserve">
</t>
        </r>
      </text>
    </comment>
    <comment ref="M24" authorId="3" shapeId="0" xr:uid="{00000000-0006-0000-0300-00000E000000}">
      <text>
        <r>
          <rPr>
            <b/>
            <sz val="8"/>
            <color indexed="81"/>
            <rFont val="Tahoma"/>
            <family val="2"/>
          </rPr>
          <t>automatically generated during the outlier removal process, but must be manually edited if more historical data is entered by the user.</t>
        </r>
        <r>
          <rPr>
            <sz val="8"/>
            <color indexed="81"/>
            <rFont val="Tahoma"/>
            <family val="2"/>
          </rPr>
          <t xml:space="preserve">
</t>
        </r>
      </text>
    </comment>
    <comment ref="O24" authorId="3" shapeId="0" xr:uid="{00000000-0006-0000-0300-00000F000000}">
      <text>
        <r>
          <rPr>
            <b/>
            <sz val="8"/>
            <color indexed="81"/>
            <rFont val="Tahoma"/>
            <family val="2"/>
          </rPr>
          <t># years in the historic period,
as discussed in 17b, appendix 6.
Generally the number of years
between the earliest year and the most recent year, when
both the continuous data record
and the historic peaks are
considered.</t>
        </r>
        <r>
          <rPr>
            <sz val="8"/>
            <color indexed="81"/>
            <rFont val="Tahoma"/>
            <family val="2"/>
          </rPr>
          <t xml:space="preserve">
</t>
        </r>
      </text>
    </comment>
    <comment ref="J27" authorId="3" shapeId="0" xr:uid="{00000000-0006-0000-0300-000010000000}">
      <text>
        <r>
          <rPr>
            <b/>
            <sz val="8"/>
            <color indexed="81"/>
            <rFont val="Tahoma"/>
            <family val="2"/>
          </rPr>
          <t>H or L is automatically generated during the outlier removal process, but must be input manually when historical data is added by the user.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 moore</author>
  </authors>
  <commentList>
    <comment ref="C2" authorId="0" shapeId="0" xr:uid="{00000000-0006-0000-0600-000001000000}">
      <text>
        <r>
          <rPr>
            <b/>
            <sz val="8"/>
            <color indexed="81"/>
            <rFont val="Tahoma"/>
            <family val="2"/>
          </rPr>
          <t>Y-coordinate of observed peaks</t>
        </r>
        <r>
          <rPr>
            <sz val="8"/>
            <color indexed="81"/>
            <rFont val="Tahoma"/>
            <family val="2"/>
          </rPr>
          <t xml:space="preserve">
</t>
        </r>
      </text>
    </comment>
    <comment ref="E2" authorId="0" shapeId="0" xr:uid="{00000000-0006-0000-0600-000002000000}">
      <text>
        <r>
          <rPr>
            <b/>
            <sz val="8"/>
            <color indexed="81"/>
            <rFont val="Tahoma"/>
            <family val="2"/>
          </rPr>
          <t>X-coordinate of observed peaks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dan.moore</author>
    <author>dan moore</author>
  </authors>
  <commentList>
    <comment ref="B1" authorId="0" shapeId="0" xr:uid="{00000000-0006-0000-0700-000001000000}">
      <text>
        <r>
          <rPr>
            <b/>
            <sz val="8"/>
            <color indexed="81"/>
            <rFont val="Tahoma"/>
            <family val="2"/>
          </rPr>
          <t>same as "basic data"
cell K3, unless changed
in step 5</t>
        </r>
        <r>
          <rPr>
            <sz val="8"/>
            <color indexed="81"/>
            <rFont val="Tahoma"/>
            <family val="2"/>
          </rPr>
          <t xml:space="preserve">
</t>
        </r>
      </text>
    </comment>
    <comment ref="D1" authorId="0" shapeId="0" xr:uid="{00000000-0006-0000-0700-000002000000}">
      <text>
        <r>
          <rPr>
            <b/>
            <sz val="8"/>
            <color indexed="81"/>
            <rFont val="Tahoma"/>
            <family val="2"/>
          </rPr>
          <t>same as "basic data"
cell K4, unless changed
in step 5</t>
        </r>
        <r>
          <rPr>
            <sz val="8"/>
            <color indexed="81"/>
            <rFont val="Tahoma"/>
            <family val="2"/>
          </rPr>
          <t xml:space="preserve">
</t>
        </r>
      </text>
    </comment>
    <comment ref="F1" authorId="0" shapeId="0" xr:uid="{00000000-0006-0000-0700-000003000000}">
      <text>
        <r>
          <rPr>
            <b/>
            <sz val="8"/>
            <color indexed="81"/>
            <rFont val="Tahoma"/>
            <family val="2"/>
          </rPr>
          <t>same as "basic data"
cell K5, unless changed
in step 5</t>
        </r>
        <r>
          <rPr>
            <sz val="8"/>
            <color indexed="81"/>
            <rFont val="Tahoma"/>
            <family val="2"/>
          </rPr>
          <t xml:space="preserve">
</t>
        </r>
      </text>
    </comment>
    <comment ref="H1" authorId="0" shapeId="0" xr:uid="{00000000-0006-0000-0700-000004000000}">
      <text>
        <r>
          <rPr>
            <b/>
            <sz val="8"/>
            <color indexed="81"/>
            <rFont val="Tahoma"/>
            <family val="2"/>
          </rPr>
          <t>same as "basic data"
cell K14, unless changed
in step 5</t>
        </r>
        <r>
          <rPr>
            <sz val="8"/>
            <color indexed="81"/>
            <rFont val="Tahoma"/>
            <family val="2"/>
          </rPr>
          <t xml:space="preserve">
</t>
        </r>
      </text>
    </comment>
    <comment ref="H3" authorId="0" shapeId="0" xr:uid="{00000000-0006-0000-0700-000005000000}">
      <text>
        <r>
          <rPr>
            <b/>
            <sz val="8"/>
            <color indexed="81"/>
            <rFont val="Tahoma"/>
            <family val="2"/>
          </rPr>
          <t>As detailed in appendix 9 of bulletin 17b,
the 5 and 95 percent confidence limits may 
be calculated with four formulas, Kupper, Klower,
a, and b.  The z value in a and b is constant for a
given confidence interval.  For 5 / 95 that value
is 1.645.  For 10 / 90 the value would be 1.282.
These values come from tables of standard
normal deviates (z values) for a normal distribution.</t>
        </r>
        <r>
          <rPr>
            <sz val="8"/>
            <color indexed="81"/>
            <rFont val="Tahoma"/>
            <family val="2"/>
          </rPr>
          <t xml:space="preserve">
</t>
        </r>
      </text>
    </comment>
    <comment ref="P3" authorId="0" shapeId="0" xr:uid="{00000000-0006-0000-0700-000006000000}">
      <text>
        <r>
          <rPr>
            <b/>
            <sz val="8"/>
            <color indexed="81"/>
            <rFont val="Tahoma"/>
            <family val="2"/>
          </rPr>
          <t>Bulletin 17B, page 24 discusses expected probability and states that the adjustment is "an attempt to incorporate the affects of uncertainty in the application of the [frequency] curve".  It further states that "the decision about use of the expected probability adjustment is a policy decision beyond the scope of this guide.  It is most often used in estimates of annual flood damages and in establishing design flood criteria."
The calculations in this spreadsheet for the expected probability adjustment are adapted from Bulletin 17B, Appendix 11.
Table 11-1 states that the expected probability adjustment may be applicable for distributions with "small skew coefficients".  Leo Beard states in "Practical Flood Frequency Estimates"  that the skew should not "differ greatly from zero".  These being relative terms, it is suggested, somewhat arbitrarily, that the absolute value of the weighted skew (Cell I1 on this sheet) be less than or equal to 1. 
 Plotting of the expected probability curve (purple dashed line) can be turned on or off from the buttons page.</t>
        </r>
        <r>
          <rPr>
            <sz val="8"/>
            <color indexed="81"/>
            <rFont val="Tahoma"/>
            <family val="2"/>
          </rPr>
          <t xml:space="preserve">
</t>
        </r>
      </text>
    </comment>
    <comment ref="B4" authorId="1" shapeId="0" xr:uid="{00000000-0006-0000-0700-000007000000}">
      <text>
        <r>
          <rPr>
            <b/>
            <sz val="8"/>
            <color indexed="81"/>
            <rFont val="Tahoma"/>
            <family val="2"/>
          </rPr>
          <t>X-coordinate of calculated points for frequency curve</t>
        </r>
      </text>
    </comment>
    <comment ref="D4" authorId="1" shapeId="0" xr:uid="{00000000-0006-0000-0700-000008000000}">
      <text>
        <r>
          <rPr>
            <b/>
            <sz val="8"/>
            <color indexed="81"/>
            <rFont val="Tahoma"/>
            <family val="2"/>
          </rPr>
          <t>Y-coordinate of calculated points for freq curve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 Moore</author>
    <author>dan moore</author>
  </authors>
  <commentList>
    <comment ref="B3" authorId="0" shapeId="0" xr:uid="{00000000-0006-0000-0800-000001000000}">
      <text>
        <r>
          <rPr>
            <b/>
            <sz val="8"/>
            <color indexed="81"/>
            <rFont val="Tahoma"/>
            <family val="2"/>
          </rPr>
          <t>Tic marks for the x-axis are points plotted on the top line of the graph, with grid lines formed by error bars, extending downward for the height of the Y-axis.
The Y value of this X-axis is the LOG10 of the flow value.
Thus, for flow 10,000, Y=4
for flow 1000, Y=3
for flow 100, Y=2</t>
        </r>
      </text>
    </comment>
    <comment ref="F3" authorId="0" shapeId="0" xr:uid="{00000000-0006-0000-0800-000002000000}">
      <text>
        <r>
          <rPr>
            <b/>
            <sz val="8"/>
            <color indexed="81"/>
            <rFont val="Tahoma"/>
            <family val="2"/>
          </rPr>
          <t>Tic marks for the Y-axis are points plotted on the left side of the graph, with grid lines formed by error bars extending right across the width of the X-axis.</t>
        </r>
      </text>
    </comment>
    <comment ref="C5" authorId="0" shapeId="0" xr:uid="{00000000-0006-0000-0800-000003000000}">
      <text>
        <r>
          <rPr>
            <b/>
            <sz val="8"/>
            <color indexed="81"/>
            <rFont val="Tahoma"/>
            <family val="2"/>
          </rPr>
          <t>This is the Y value of the X-axis</t>
        </r>
        <r>
          <rPr>
            <sz val="8"/>
            <color indexed="81"/>
            <rFont val="Tahoma"/>
            <family val="2"/>
          </rPr>
          <t xml:space="preserve">
</t>
        </r>
      </text>
    </comment>
    <comment ref="F5" authorId="1" shapeId="0" xr:uid="{00000000-0006-0000-0800-000004000000}">
      <text>
        <r>
          <rPr>
            <b/>
            <sz val="8"/>
            <color indexed="81"/>
            <rFont val="Tahoma"/>
            <family val="2"/>
          </rPr>
          <t>Not every row here is used for every graph.
It depends on the high
and low values of the
Y axis.</t>
        </r>
        <r>
          <rPr>
            <sz val="8"/>
            <color indexed="81"/>
            <rFont val="Tahoma"/>
            <family val="2"/>
          </rPr>
          <t xml:space="preserve">
</t>
        </r>
      </text>
    </comment>
    <comment ref="G5" authorId="0" shapeId="0" xr:uid="{00000000-0006-0000-0800-000005000000}">
      <text>
        <r>
          <rPr>
            <b/>
            <sz val="8"/>
            <color indexed="81"/>
            <rFont val="Tahoma"/>
            <family val="2"/>
          </rPr>
          <t>This is the X value of the Y-axis</t>
        </r>
        <r>
          <rPr>
            <sz val="8"/>
            <color indexed="81"/>
            <rFont val="Tahoma"/>
            <family val="2"/>
          </rPr>
          <t xml:space="preserve">
</t>
        </r>
      </text>
    </comment>
    <comment ref="B32" authorId="1" shapeId="0" xr:uid="{00000000-0006-0000-0800-000006000000}">
      <text>
        <r>
          <rPr>
            <b/>
            <sz val="8"/>
            <color indexed="81"/>
            <rFont val="Tahoma"/>
            <family val="2"/>
          </rPr>
          <t>Since the X-axis should not have to be adjusted, all these values should be the same for every plot.  Except, the X value of the Y-axis (the "high" X value) must be calculated as follows:
It does not have to be exact, but is about NORMSINV(99.997/100) + yvx,  where yvx is the Y value of the X-axis (from column C).
(This calculation is done automatically, when the values in column C change.)</t>
        </r>
      </text>
    </comment>
    <comment ref="B37" authorId="1" shapeId="0" xr:uid="{00000000-0006-0000-0800-000007000000}">
      <text>
        <r>
          <rPr>
            <b/>
            <sz val="8"/>
            <color indexed="81"/>
            <rFont val="Tahoma"/>
            <family val="2"/>
          </rPr>
          <t>If new limits are the same as the old, then the macro will not change the graph labels.</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4" background="1" saveData="1">
    <webPr sourceData="1" parsePre="1" consecutive="1" xl2000="1" url="http://nwis.waterdata.usgs.gov/nwis/peak?site_no=10310000&amp;agency_cd=USGS&amp;format=rdb" htmlTables="1">
      <tables count="2">
        <x v="1"/>
        <x v="2"/>
      </tables>
    </webPr>
  </connection>
  <connection id="2" xr16:uid="{00000000-0015-0000-FFFF-FFFF01000000}" name="Connection1" type="4" refreshedVersion="4" background="1" saveData="1">
    <webPr sourceData="1" parsePre="1" consecutive="1" xl2000="1" url="http://nwis.waterdata.usgs.gov/nwis/peak?site_no=10310000&amp;agency_cd=USGS&amp;format=rdb" htmlTables="1">
      <tables count="2">
        <x v="1"/>
        <x v="2"/>
      </tables>
    </webPr>
  </connection>
  <connection id="3" xr16:uid="{00000000-0015-0000-FFFF-FFFF02000000}" name="Connection10" type="4" refreshedVersion="4" background="1" saveData="1">
    <webPr sourceData="1" parsePre="1" consecutive="1" xl2000="1" url="http://nwis.waterdata.usgs.gov/nwis/peak?site_no=10310000&amp;agency_cd=USGS&amp;format=rdb" htmlTables="1">
      <tables count="2">
        <x v="1"/>
        <x v="2"/>
      </tables>
    </webPr>
  </connection>
  <connection id="4" xr16:uid="{00000000-0015-0000-FFFF-FFFF03000000}" name="Connection11" type="4" refreshedVersion="4" background="1" saveData="1">
    <webPr sourceData="1" parsePre="1" consecutive="1" xl2000="1" url="http://nwis.waterdata.usgs.gov/nwis/peak?site_no=10310000&amp;agency_cd=USGS&amp;format=rdb" htmlTables="1">
      <tables count="2">
        <x v="1"/>
        <x v="2"/>
      </tables>
    </webPr>
  </connection>
  <connection id="5" xr16:uid="{00000000-0015-0000-FFFF-FFFF04000000}" name="Connection12" type="4" refreshedVersion="4" background="1" saveData="1">
    <webPr sourceData="1" parsePre="1" consecutive="1" xl2000="1" url="http://nwis.waterdata.usgs.gov/nwis/peak?site_no=10310000&amp;agency_cd=USGS&amp;format=rdb" htmlTables="1">
      <tables count="2">
        <x v="1"/>
        <x v="2"/>
      </tables>
    </webPr>
  </connection>
  <connection id="6" xr16:uid="{00000000-0015-0000-FFFF-FFFF05000000}" name="Connection13" type="4" refreshedVersion="4" background="1" saveData="1">
    <webPr sourceData="1" parsePre="1" consecutive="1" xl2000="1" url="http://nwis.waterdata.usgs.gov/nwis/peak?site_no=10310000&amp;agency_cd=USGS&amp;format=rdb" htmlTables="1">
      <tables count="2">
        <x v="1"/>
        <x v="2"/>
      </tables>
    </webPr>
  </connection>
  <connection id="7" xr16:uid="{00000000-0015-0000-FFFF-FFFF06000000}" name="Connection14" type="4" refreshedVersion="4" background="1" saveData="1">
    <webPr sourceData="1" parsePre="1" consecutive="1" xl2000="1" url="http://nwis.waterdata.usgs.gov/nwis/peak?site_no=10310000&amp;agency_cd=USGS&amp;format=rdb" htmlTables="1">
      <tables count="2">
        <x v="1"/>
        <x v="2"/>
      </tables>
    </webPr>
  </connection>
  <connection id="8" xr16:uid="{00000000-0015-0000-FFFF-FFFF07000000}" name="Connection15" type="4" refreshedVersion="4" background="1" saveData="1">
    <webPr sourceData="1" parsePre="1" consecutive="1" xl2000="1" url="http://nwis.waterdata.usgs.gov/nwis/peak?site_no=10310000&amp;agency_cd=USGS&amp;format=rdb" htmlTables="1">
      <tables count="2">
        <x v="1"/>
        <x v="2"/>
      </tables>
    </webPr>
  </connection>
  <connection id="9" xr16:uid="{00000000-0015-0000-FFFF-FFFF08000000}" name="Connection16" type="4" refreshedVersion="4" background="1" saveData="1">
    <webPr sourceData="1" parsePre="1" consecutive="1" xl2000="1" url="http://nwis.waterdata.usgs.gov/nwis/peak?site_no=10310000&amp;agency_cd=USGS&amp;format=rdb" htmlTables="1">
      <tables count="2">
        <x v="1"/>
        <x v="2"/>
      </tables>
    </webPr>
  </connection>
  <connection id="10" xr16:uid="{00000000-0015-0000-FFFF-FFFF09000000}" name="Connection17" type="4" refreshedVersion="4" background="1" saveData="1">
    <webPr sourceData="1" parsePre="1" consecutive="1" xl2000="1" url="http://nwis.waterdata.usgs.gov/nwis/peak?site_no=10310000&amp;agency_cd=USGS&amp;format=rdb" htmlTables="1">
      <tables count="2">
        <x v="1"/>
        <x v="2"/>
      </tables>
    </webPr>
  </connection>
  <connection id="11" xr16:uid="{00000000-0015-0000-FFFF-FFFF0A000000}" name="Connection18" type="4" refreshedVersion="4" background="1" saveData="1">
    <webPr sourceData="1" parsePre="1" consecutive="1" xl2000="1" url="http://nwis.waterdata.usgs.gov/nwis/peak?site_no=10310000&amp;agency_cd=USGS&amp;format=rdb" htmlTables="1">
      <tables count="2">
        <x v="1"/>
        <x v="2"/>
      </tables>
    </webPr>
  </connection>
  <connection id="12" xr16:uid="{00000000-0015-0000-FFFF-FFFF0B000000}" name="Connection19" type="4" refreshedVersion="0" background="1">
    <webPr url="http://nwis.waterdata.usgs.gov/nwis/peak?site_no=10310000&amp;agency_cd=USGS&amp;format=rdb" htmlTables="1" htmlFormat="all"/>
  </connection>
  <connection id="13" xr16:uid="{00000000-0015-0000-FFFF-FFFF0C000000}" name="Connection2" type="4" refreshedVersion="4" background="1" saveData="1">
    <webPr sourceData="1" parsePre="1" consecutive="1" xl2000="1" url="http://nwis.waterdata.usgs.gov/nwis/peak?site_no=10310000&amp;agency_cd=USGS&amp;format=rdb" htmlTables="1">
      <tables count="2">
        <x v="1"/>
        <x v="2"/>
      </tables>
    </webPr>
  </connection>
  <connection id="14" xr16:uid="{00000000-0015-0000-FFFF-FFFF0D000000}" name="Connection20" type="4" refreshedVersion="0" background="1">
    <webPr url="http://nwis.waterdata.usgs.gov/nwis/peak?site_no=10310000&amp;agency_cd=USGS&amp;format=rdb" htmlTables="1" htmlFormat="all"/>
  </connection>
  <connection id="15" xr16:uid="{00000000-0015-0000-FFFF-FFFF0E000000}" name="Connection21" type="4" refreshedVersion="0" background="1">
    <webPr url="http://nwis.waterdata.usgs.gov/nwis/peak?site_no=10310000&amp;agency_cd=USGS&amp;format=rdb" htmlTables="1" htmlFormat="all"/>
  </connection>
  <connection id="16" xr16:uid="{00000000-0015-0000-FFFF-FFFF0F000000}" name="Connection22" type="4" refreshedVersion="0" background="1">
    <webPr url="http://nwis.waterdata.usgs.gov/nwis/peak?site_no=10310000&amp;agency_cd=USGS&amp;format=rdb" htmlTables="1" htmlFormat="all"/>
  </connection>
  <connection id="17" xr16:uid="{00000000-0015-0000-FFFF-FFFF10000000}" name="Connection23" type="4" refreshedVersion="0" background="1">
    <webPr url="http://nwis.waterdata.usgs.gov/nwis/peak?site_no=10310000&amp;agency_cd=USGS&amp;format=rdb" htmlTables="1" htmlFormat="all"/>
  </connection>
  <connection id="18" xr16:uid="{00000000-0015-0000-FFFF-FFFF11000000}" name="Connection24" type="4" refreshedVersion="0" background="1">
    <webPr url="http://nwis.waterdata.usgs.gov/nwis/peak?site_no=10310000&amp;agency_cd=USGS&amp;format=rdb" htmlTables="1" htmlFormat="all"/>
  </connection>
  <connection id="19" xr16:uid="{00000000-0015-0000-FFFF-FFFF12000000}" name="Connection25" type="4" refreshedVersion="0" background="1">
    <webPr url="http://nwis.waterdata.usgs.gov/nwis/peak?site_no=10310000&amp;agency_cd=USGS&amp;format=rdb" htmlTables="1" htmlFormat="all"/>
  </connection>
  <connection id="20" xr16:uid="{00000000-0015-0000-FFFF-FFFF13000000}" name="Connection26" type="4" refreshedVersion="4" background="1" saveData="1">
    <webPr sourceData="1" parsePre="1" consecutive="1" xl2000="1" url="http://nwis.waterdata.usgs.gov/nwis/peak?site_no=10310000&amp;agency_cd=USGS&amp;format=rdb" htmlTables="1">
      <tables count="2">
        <x v="1"/>
        <x v="2"/>
      </tables>
    </webPr>
  </connection>
  <connection id="21" xr16:uid="{00000000-0015-0000-FFFF-FFFF14000000}" name="Connection27" type="4" refreshedVersion="4" background="1" saveData="1">
    <webPr sourceData="1" parsePre="1" consecutive="1" xl2000="1" url="http://nwis.waterdata.usgs.gov/nwis/peak?site_no=10310000&amp;agency_cd=USGS&amp;format=rdb" htmlTables="1">
      <tables count="2">
        <x v="1"/>
        <x v="2"/>
      </tables>
    </webPr>
  </connection>
  <connection id="22" xr16:uid="{00000000-0015-0000-FFFF-FFFF15000000}" name="Connection28" type="4" refreshedVersion="4" background="1" saveData="1">
    <webPr sourceData="1" parsePre="1" consecutive="1" xl2000="1" url="http://nwis.waterdata.usgs.gov/nwis/peak?site_no=10310000&amp;agency_cd=USGS&amp;format=rdb" htmlTables="1">
      <tables count="2">
        <x v="1"/>
        <x v="2"/>
      </tables>
    </webPr>
  </connection>
  <connection id="23" xr16:uid="{00000000-0015-0000-FFFF-FFFF16000000}" name="Connection29" type="4" refreshedVersion="4" background="1" saveData="1">
    <webPr sourceData="1" parsePre="1" consecutive="1" xl2000="1" url="http://nwis.waterdata.usgs.gov/nwis/peak?site_no=10310000&amp;agency_cd=USGS&amp;format=rdb" htmlTables="1">
      <tables count="2">
        <x v="1"/>
        <x v="2"/>
      </tables>
    </webPr>
  </connection>
  <connection id="24" xr16:uid="{00000000-0015-0000-FFFF-FFFF17000000}" name="Connection3" type="4" refreshedVersion="4" background="1" saveData="1">
    <webPr sourceData="1" parsePre="1" consecutive="1" xl2000="1" url="http://nwis.waterdata.usgs.gov/nwis/peak?site_no=10310000&amp;agency_cd=USGS&amp;format=rdb" htmlTables="1">
      <tables count="2">
        <x v="1"/>
        <x v="2"/>
      </tables>
    </webPr>
  </connection>
  <connection id="25" xr16:uid="{00000000-0015-0000-FFFF-FFFF18000000}" name="Connection30" type="4" refreshedVersion="4" background="1" saveData="1">
    <webPr sourceData="1" parsePre="1" consecutive="1" xl2000="1" url="http://nwis.waterdata.usgs.gov/nwis/peak?site_no=10310000&amp;agency_cd=USGS&amp;format=rdb" htmlTables="1">
      <tables count="2">
        <x v="1"/>
        <x v="2"/>
      </tables>
    </webPr>
  </connection>
  <connection id="26" xr16:uid="{00000000-0015-0000-FFFF-FFFF19000000}" name="Connection31" type="4" refreshedVersion="4" background="1" saveData="1">
    <webPr sourceData="1" parsePre="1" consecutive="1" xl2000="1" url="http://nwis.waterdata.usgs.gov/nwis/peak?site_no=10310000&amp;agency_cd=USGS&amp;format=rdb" htmlTables="1">
      <tables count="2">
        <x v="1"/>
        <x v="2"/>
      </tables>
    </webPr>
  </connection>
  <connection id="27" xr16:uid="{00000000-0015-0000-FFFF-FFFF1A000000}" name="Connection32" type="4" refreshedVersion="4" background="1" saveData="1">
    <webPr sourceData="1" parsePre="1" consecutive="1" xl2000="1" url="http://nwis.waterdata.usgs.gov/nwis/peak?site_no=10310000&amp;agency_cd=USGS&amp;format=rdb" htmlTables="1">
      <tables count="2">
        <x v="1"/>
        <x v="2"/>
      </tables>
    </webPr>
  </connection>
  <connection id="28" xr16:uid="{00000000-0015-0000-FFFF-FFFF1B000000}" name="Connection33" type="4" refreshedVersion="4" background="1" saveData="1">
    <webPr sourceData="1" parsePre="1" consecutive="1" xl2000="1" url="http://nwis.waterdata.usgs.gov/nwis/peak?site_no=10310000&amp;agency_cd=USGS&amp;format=rdb" htmlTables="1">
      <tables count="2">
        <x v="1"/>
        <x v="2"/>
      </tables>
    </webPr>
  </connection>
  <connection id="29" xr16:uid="{00000000-0015-0000-FFFF-FFFF1C000000}" name="Connection34" type="4" refreshedVersion="4" background="1" saveData="1">
    <webPr sourceData="1" parsePre="1" consecutive="1" xl2000="1" url="http://nwis.waterdata.usgs.gov/nwis/peak?site_no=10310000&amp;agency_cd=USGS&amp;format=rdb" htmlTables="1">
      <tables count="2">
        <x v="1"/>
        <x v="2"/>
      </tables>
    </webPr>
  </connection>
  <connection id="30" xr16:uid="{00000000-0015-0000-FFFF-FFFF1D000000}" name="Connection35" type="4" refreshedVersion="4" background="1" saveData="1">
    <webPr sourceData="1" parsePre="1" consecutive="1" xl2000="1" url="http://nwis.waterdata.usgs.gov/nwis/peak?site_no=10310000&amp;agency_cd=USGS&amp;format=rdb" htmlTables="1">
      <tables count="2">
        <x v="1"/>
        <x v="2"/>
      </tables>
    </webPr>
  </connection>
  <connection id="31" xr16:uid="{00000000-0015-0000-FFFF-FFFF1E000000}" name="Connection36" type="4" refreshedVersion="4" background="1" saveData="1">
    <webPr sourceData="1" parsePre="1" consecutive="1" xl2000="1" url="http://nwis.waterdata.usgs.gov/nwis/peak?site_no=10310000&amp;agency_cd=USGS&amp;format=rdb" htmlTables="1">
      <tables count="2">
        <x v="1"/>
        <x v="2"/>
      </tables>
    </webPr>
  </connection>
  <connection id="32" xr16:uid="{00000000-0015-0000-FFFF-FFFF1F000000}" name="Connection37" type="4" refreshedVersion="4" background="1" saveData="1">
    <webPr sourceData="1" parsePre="1" consecutive="1" xl2000="1" url="http://nwis.waterdata.usgs.gov/nwis/peak?site_no=10310000&amp;agency_cd=USGS&amp;format=rdb" htmlTables="1"/>
  </connection>
  <connection id="33" xr16:uid="{00000000-0015-0000-FFFF-FFFF20000000}" name="Connection38" type="4" refreshedVersion="4" background="1" saveData="1">
    <webPr parsePre="1" consecutive="1" xl2000="1" url="http://nwis.waterdata.usgs.gov/nwis/peak?site_no=10310000&amp;agency_cd=USGS&amp;format=rdb" htmlTables="1"/>
  </connection>
  <connection id="34" xr16:uid="{00000000-0015-0000-FFFF-FFFF21000000}" name="Connection39" type="4" refreshedVersion="0" background="1">
    <webPr url="http://nwis.waterdata.usgs.gov/nwis/peak?site_no=10310000&amp;agency_cd=USGS&amp;format=rdb" htmlTables="1" htmlFormat="all"/>
  </connection>
  <connection id="35" xr16:uid="{00000000-0015-0000-FFFF-FFFF22000000}" name="Connection4" type="4" refreshedVersion="4" background="1" saveData="1">
    <webPr sourceData="1" parsePre="1" consecutive="1" xl2000="1" url="http://nwis.waterdata.usgs.gov/nwis/peak?site_no=10310000&amp;agency_cd=USGS&amp;format=rdb" htmlTables="1">
      <tables count="2">
        <x v="1"/>
        <x v="2"/>
      </tables>
    </webPr>
  </connection>
  <connection id="36" xr16:uid="{00000000-0015-0000-FFFF-FFFF23000000}" name="Connection40" type="4" refreshedVersion="4" background="1" saveData="1">
    <webPr parsePre="1" consecutive="1" xl2000="1" url="http://nwis.waterdata.usgs.gov/nwis/peak?site_no=10310000&amp;agency_cd=USGS&amp;format=rdb" htmlTables="1"/>
  </connection>
  <connection id="37" xr16:uid="{00000000-0015-0000-FFFF-FFFF24000000}" name="Connection41" type="4" refreshedVersion="4" background="1" saveData="1">
    <webPr parsePre="1" consecutive="1" xl2000="1" url="http://nwis.waterdata.usgs.gov/nwis/peak?site_no=10310000&amp;agency_cd=USGS&amp;format=rdb" htmlTables="1"/>
  </connection>
  <connection id="38" xr16:uid="{00000000-0015-0000-FFFF-FFFF25000000}" name="Connection42" type="4" refreshedVersion="4" background="1" saveData="1">
    <webPr parsePre="1" consecutive="1" xl2000="1" url="http://nwis.waterdata.usgs.gov/nwis/peak?site_no=10310000&amp;agency_cd=USGS&amp;format=rdb" htmlTables="1"/>
  </connection>
  <connection id="39" xr16:uid="{00000000-0015-0000-FFFF-FFFF26000000}" name="Connection43" type="4" refreshedVersion="4" background="1" saveData="1">
    <webPr parsePre="1" consecutive="1" xl2000="1" url="http://nwis.waterdata.usgs.gov/nwis/peak?site_no=10310000&amp;agency_cd=USGS&amp;format=rdb" htmlTables="1"/>
  </connection>
  <connection id="40" xr16:uid="{00000000-0015-0000-FFFF-FFFF27000000}" name="Connection44" type="4" refreshedVersion="4" background="1" saveData="1">
    <webPr parsePre="1" consecutive="1" xl2000="1" url="http://nwis.waterdata.usgs.gov/nwis/peak?site_no=10310000&amp;agency_cd=USGS&amp;format=rdb" htmlTables="1"/>
  </connection>
  <connection id="41" xr16:uid="{00000000-0015-0000-FFFF-FFFF28000000}" name="Connection45" type="4" refreshedVersion="4" background="1" saveData="1">
    <webPr parsePre="1" consecutive="1" xl2000="1" url="http://nwis.waterdata.usgs.gov/nwis/peak?site_no=10310000&amp;agency_cd=USGS&amp;format=rdb" htmlTables="1"/>
  </connection>
  <connection id="42" xr16:uid="{00000000-0015-0000-FFFF-FFFF29000000}" name="Connection46" type="4" refreshedVersion="4" background="1" saveData="1">
    <webPr parsePre="1" consecutive="1" xl2000="1" url="http://nwis.waterdata.usgs.gov/nwis/peak?site_no=10310000&amp;agency_cd=USGS&amp;format=rdb" htmlTables="1"/>
  </connection>
  <connection id="43" xr16:uid="{00000000-0015-0000-FFFF-FFFF2A000000}" name="Connection47" type="4" refreshedVersion="4" background="1" saveData="1">
    <webPr parsePre="1" consecutive="1" xl2000="1" url="http://nwis.waterdata.usgs.gov/nwis/peak?site_no=6329500&amp;agency_cd=USGS&amp;format=rdb" htmlTables="1"/>
  </connection>
  <connection id="44" xr16:uid="{00000000-0015-0000-FFFF-FFFF2B000000}" name="Connection48" type="4" refreshedVersion="4" background="1" saveData="1">
    <webPr parsePre="1" consecutive="1" xl2000="1" url="http://nwis.waterdata.usgs.gov/nwis/peak?site_no=06329500&amp;agency_cd=USGS&amp;format=rdb" htmlTables="1"/>
  </connection>
  <connection id="45" xr16:uid="{00000000-0015-0000-FFFF-FFFF2C000000}" name="Connection49" type="4" refreshedVersion="4" background="1" saveData="1">
    <webPr parsePre="1" consecutive="1" xl2000="1" url="http://nwis.waterdata.usgs.gov/nwis/peak?site_no=250&amp;agency_cd=USGS&amp;format=rdb" htmlTables="1"/>
  </connection>
  <connection id="46" xr16:uid="{00000000-0015-0000-FFFF-FFFF2D000000}" name="Connection5" type="4" refreshedVersion="4" background="1" saveData="1">
    <webPr sourceData="1" parsePre="1" consecutive="1" xl2000="1" url="http://nwis.waterdata.usgs.gov/nwis/peak?site_no=10310000&amp;agency_cd=USGS&amp;format=rdb" htmlTables="1">
      <tables count="2">
        <x v="1"/>
        <x v="2"/>
      </tables>
    </webPr>
  </connection>
  <connection id="47" xr16:uid="{00000000-0015-0000-FFFF-FFFF2E000000}" name="Connection50" type="4" refreshedVersion="4" background="1" saveData="1">
    <webPr parsePre="1" consecutive="1" xl2000="1" url="http://nwis.waterdata.usgs.gov/nwis/peak?site_no=77777777&amp;agency_cd=USGS&amp;format=rdb" htmlTables="1"/>
  </connection>
  <connection id="48" xr16:uid="{00000000-0015-0000-FFFF-FFFF2F000000}" name="Connection51" type="4" refreshedVersion="4" background="1" saveData="1">
    <webPr parsePre="1" consecutive="1" xl2000="1" url="http://nwis.waterdata.usgs.gov/nwis/peak?site_no=77777777&amp;agency_cd=USGS&amp;format=rdb" htmlTables="1"/>
  </connection>
  <connection id="49" xr16:uid="{00000000-0015-0000-FFFF-FFFF30000000}" name="Connection52" type="4" refreshedVersion="4" background="1" saveData="1">
    <webPr parsePre="1" consecutive="1" xl2000="1" url="http://nwis.waterdata.usgs.gov/nwis/peak?site_no=10310000&amp;agency_cd=USGS&amp;format=rdb" htmlTables="1"/>
  </connection>
  <connection id="50" xr16:uid="{00000000-0015-0000-FFFF-FFFF31000000}" name="Connection53" type="4" refreshedVersion="4" background="1" saveData="1">
    <webPr parsePre="1" consecutive="1" xl2000="1" url="http://nwis.waterdata.usgs.gov/nwis/peak?site_no=77777777&amp;agency_cd=USGS&amp;format=rdb" htmlTables="1"/>
  </connection>
  <connection id="51" xr16:uid="{00000000-0015-0000-FFFF-FFFF32000000}" name="Connection54" type="4" refreshedVersion="4" background="1" saveData="1">
    <webPr parsePre="1" consecutive="1" xl2000="1" url="http://nwis.waterdata.usgs.gov/nwis/peak?site_no=yellowst&amp;agency_cd=USGS&amp;format=rdb" htmlTables="1"/>
  </connection>
  <connection id="52" xr16:uid="{00000000-0015-0000-FFFF-FFFF33000000}" name="Connection55" type="4" refreshedVersion="4" background="1" saveData="1">
    <webPr parsePre="1" consecutive="1" xl2000="1" url="http://nwis.waterdata.usgs.gov/nwis/peak?site_no=10310000&amp;agency_cd=USGS&amp;format=rdb" htmlTables="1"/>
  </connection>
  <connection id="53" xr16:uid="{00000000-0015-0000-FFFF-FFFF34000000}" name="Connection56" type="4" refreshedVersion="4" background="1" saveData="1">
    <webPr parsePre="1" consecutive="1" xl2000="1" url="http://nwis.waterdata.usgs.gov/nwis/peak?site_no=06329500&amp;agency_cd=USGS&amp;format=rdb" htmlTables="1"/>
  </connection>
  <connection id="54" xr16:uid="{00000000-0015-0000-FFFF-FFFF35000000}" name="Connection57" type="4" refreshedVersion="4" background="1" saveData="1">
    <webPr parsePre="1" consecutive="1" xl2000="1" url="http://nwis.waterdata.usgs.gov/nwis/peak?site_no=10310000&amp;agency_cd=USGS&amp;format=rdb" htmlTables="1"/>
  </connection>
  <connection id="55" xr16:uid="{00000000-0015-0000-FFFF-FFFF36000000}" name="Connection58" type="4" refreshedVersion="4" background="1" saveData="1">
    <webPr parsePre="1" consecutive="1" xl2000="1" url="http://nwis.waterdata.usgs.gov/nwis/peak?site_no=06329500&amp;agency_cd=USGS&amp;format=rdb" htmlTables="1"/>
  </connection>
  <connection id="56" xr16:uid="{00000000-0015-0000-FFFF-FFFF37000000}" name="Connection59" type="4" refreshedVersion="4" background="1" saveData="1">
    <webPr parsePre="1" consecutive="1" xl2000="1" url="http://nwis.waterdata.usgs.gov/nwis/peak?site_no=14042500&amp;agency_cd=USGS&amp;format=rdb" htmlTables="1"/>
  </connection>
  <connection id="57" xr16:uid="{00000000-0015-0000-FFFF-FFFF38000000}" name="Connection6" type="4" refreshedVersion="0" background="1">
    <webPr url="http://nwis.waterdata.usgs.gov/nwis/peak?site_no=10310000&amp;agency_cd=USGS&amp;format=rdb" htmlTables="1" htmlFormat="all"/>
  </connection>
  <connection id="58" xr16:uid="{00000000-0015-0000-FFFF-FFFF39000000}" name="Connection60" type="4" refreshedVersion="4" background="1" saveData="1">
    <webPr parsePre="1" consecutive="1" xl2000="1" url="http://nwis.waterdata.usgs.gov/nwis/peak?site_no=06329500&amp;agency_cd=USGS&amp;format=rdb" htmlTables="1"/>
  </connection>
  <connection id="59" xr16:uid="{00000000-0015-0000-FFFF-FFFF3A000000}" name="Connection61" type="4" refreshedVersion="4" background="1" saveData="1">
    <webPr parsePre="1" consecutive="1" xl2000="1" url="http://nwis.waterdata.usgs.gov/nwis/peak?site_no=06329500&amp;agency_cd=USGS&amp;format=rdb" htmlTables="1"/>
  </connection>
  <connection id="60" xr16:uid="{00000000-0015-0000-FFFF-FFFF3B000000}" name="Connection62" type="4" refreshedVersion="4" background="1" saveData="1">
    <webPr parsePre="1" consecutive="1" xl2000="1" url="http://nwis.waterdata.usgs.gov/nwis/peak?site_no=06329500&amp;agency_cd=USGS&amp;format=rdb" htmlTables="1"/>
  </connection>
  <connection id="61" xr16:uid="{00000000-0015-0000-FFFF-FFFF3C000000}" name="Connection63" type="4" refreshedVersion="4" background="1" saveData="1">
    <webPr parsePre="1" consecutive="1" xl2000="1" url="http://nwis.waterdata.usgs.gov/nwis/peak?site_no=07055660&amp;agency_cd=USGS&amp;format=rdb" htmlTables="1"/>
  </connection>
  <connection id="62" xr16:uid="{00000000-0015-0000-FFFF-FFFF3D000000}" name="Connection64" type="4" refreshedVersion="4" background="1">
    <webPr parsePre="1" consecutive="1" xl2000="1" url="http://nwis.waterdata.usgs.gov/nwis/peak?site_no=06329500&amp;agency_cd=USGS&amp;format=rdb" htmlTables="1"/>
  </connection>
  <connection id="63" xr16:uid="{00000000-0015-0000-FFFF-FFFF3E000000}" name="Connection65" type="4" refreshedVersion="4" background="1">
    <webPr parsePre="1" consecutive="1" xl2000="1" url="http://nwis.waterdata.usgs.gov/nwis/peak?site_no=06329500&amp;agency_cd=USGS&amp;format=rdb" htmlTables="1"/>
  </connection>
  <connection id="64" xr16:uid="{00000000-0015-0000-FFFF-FFFF3F000000}" name="Connection66" type="4" refreshedVersion="4" background="1">
    <webPr parsePre="1" consecutive="1" xl2000="1" url="http://nwis.waterdata.usgs.gov/nwis/peak?site_no=06329500&amp;agency_cd=USGS&amp;format=rdb" htmlTables="1"/>
  </connection>
  <connection id="65" xr16:uid="{00000000-0015-0000-FFFF-FFFF40000000}" name="Connection67" type="4" refreshedVersion="4" background="1">
    <webPr parsePre="1" consecutive="1" xl2000="1" url="http://nwis.waterdata.usgs.gov/nwis/peak?site_no=06329500&amp;agency_cd=USGS&amp;format=rdb" htmlTables="1"/>
  </connection>
  <connection id="66" xr16:uid="{00000000-0015-0000-FFFF-FFFF41000000}" name="Connection68" type="4" refreshedVersion="4" background="1">
    <webPr parsePre="1" consecutive="1" xl2000="1" url="http://nwis.waterdata.usgs.gov/nwis/peak?site_no=07055660&amp;agency_cd=USGS&amp;format=rdb" htmlTables="1"/>
  </connection>
  <connection id="67" xr16:uid="{00000000-0015-0000-FFFF-FFFF42000000}" name="Connection69" type="4" refreshedVersion="4" background="1">
    <webPr parsePre="1" consecutive="1" xl2000="1" url="http://nwis.waterdata.usgs.gov/nwis/peak?site_no=06329500&amp;agency_cd=USGS&amp;format=rdb" htmlTables="1"/>
  </connection>
  <connection id="68" xr16:uid="{00000000-0015-0000-FFFF-FFFF43000000}" name="Connection7" type="4" refreshedVersion="4" background="1" saveData="1">
    <webPr sourceData="1" parsePre="1" consecutive="1" xl2000="1" url="http://nwis.waterdata.usgs.gov/nwis/peak?site_no=10310000&amp;agency_cd=USGS&amp;format=rdb" htmlTables="1">
      <tables count="2">
        <x v="1"/>
        <x v="2"/>
      </tables>
    </webPr>
  </connection>
  <connection id="69" xr16:uid="{00000000-0015-0000-FFFF-FFFF44000000}" name="Connection70" type="4" refreshedVersion="4" background="1">
    <webPr parsePre="1" consecutive="1" xl2000="1" url="http://nwis.waterdata.usgs.gov/nwis/peak?site_no=07055660&amp;agency_cd=USGS&amp;format=rdb" htmlTables="1"/>
  </connection>
  <connection id="70" xr16:uid="{00000000-0015-0000-FFFF-FFFF45000000}" name="Connection71" type="4" refreshedVersion="4" background="1" saveData="1">
    <webPr parsePre="1" consecutive="1" xl2000="1" url="http://nwis.waterdata.usgs.gov/nwis/peak?site_no=07077730&amp;agency_cd=USGS&amp;format=rdb" htmlTables="1"/>
  </connection>
  <connection id="71" xr16:uid="{00000000-0015-0000-FFFF-FFFF46000000}" name="Connection72" type="4" refreshedVersion="4" background="1">
    <webPr parsePre="1" consecutive="1" xl2000="1" url="http://nwis.waterdata.usgs.gov/nwis/peak?site_no=07077730&amp;agency_cd=USGS&amp;format=rdb" htmlTables="1"/>
  </connection>
  <connection id="72" xr16:uid="{00000000-0015-0000-FFFF-FFFF47000000}" name="Connection73" type="4" refreshedVersion="4" background="1">
    <webPr parsePre="1" consecutive="1" xl2000="1" url="http://nwis.waterdata.usgs.gov/nwis/peak?site_no=06329500&amp;agency_cd=USGS&amp;format=rdb" htmlTables="1"/>
  </connection>
  <connection id="73" xr16:uid="{00000000-0015-0000-FFFF-FFFF48000000}" name="Connection8" type="4" refreshedVersion="4" background="1" saveData="1">
    <webPr sourceData="1" parsePre="1" consecutive="1" xl2000="1" url="http://nwis.waterdata.usgs.gov/nwis/peak?site_no=10310000&amp;agency_cd=USGS&amp;format=rdb" htmlTables="1">
      <tables count="2">
        <x v="1"/>
        <x v="2"/>
      </tables>
    </webPr>
  </connection>
  <connection id="74" xr16:uid="{00000000-0015-0000-FFFF-FFFF49000000}" name="Connection9" type="4" refreshedVersion="4" background="1" saveData="1">
    <webPr sourceData="1" parsePre="1" consecutive="1" xl2000="1" url="http://nwis.waterdata.usgs.gov/nwis/peak?site_no=10310000&amp;agency_cd=USGS&amp;format=rdb" htmlTables="1">
      <tables count="2">
        <x v="1"/>
        <x v="2"/>
      </tables>
    </webPr>
  </connection>
</connections>
</file>

<file path=xl/sharedStrings.xml><?xml version="1.0" encoding="utf-8"?>
<sst xmlns="http://schemas.openxmlformats.org/spreadsheetml/2006/main" count="408" uniqueCount="260">
  <si>
    <t>date</t>
  </si>
  <si>
    <t>peak</t>
  </si>
  <si>
    <t>gage</t>
  </si>
  <si>
    <t>(cfs)</t>
  </si>
  <si>
    <t>(ft)</t>
  </si>
  <si>
    <t>log peak</t>
  </si>
  <si>
    <t>n=</t>
  </si>
  <si>
    <t>mean log=</t>
  </si>
  <si>
    <t>S=</t>
  </si>
  <si>
    <r>
      <t>X</t>
    </r>
    <r>
      <rPr>
        <vertAlign val="superscript"/>
        <sz val="10"/>
        <rFont val="Book Antiqua"/>
        <family val="1"/>
      </rPr>
      <t>2</t>
    </r>
  </si>
  <si>
    <t>G=</t>
  </si>
  <si>
    <r>
      <t>X</t>
    </r>
    <r>
      <rPr>
        <vertAlign val="superscript"/>
        <sz val="10"/>
        <rFont val="Book Antiqua"/>
        <family val="1"/>
      </rPr>
      <t>3</t>
    </r>
    <r>
      <rPr>
        <sz val="10"/>
        <rFont val="Book Antiqua"/>
        <family val="1"/>
      </rPr>
      <t/>
    </r>
  </si>
  <si>
    <t>Weibull</t>
  </si>
  <si>
    <t>K</t>
  </si>
  <si>
    <t>Q</t>
  </si>
  <si>
    <t>Log Q</t>
  </si>
  <si>
    <t>Weighting the skew coefficient, G:</t>
  </si>
  <si>
    <t>A=</t>
  </si>
  <si>
    <t>B=</t>
  </si>
  <si>
    <r>
      <t>MSE</t>
    </r>
    <r>
      <rPr>
        <vertAlign val="subscript"/>
        <sz val="10"/>
        <rFont val="Book Antiqua"/>
        <family val="1"/>
      </rPr>
      <t>G</t>
    </r>
    <r>
      <rPr>
        <sz val="10"/>
        <rFont val="Book Antiqua"/>
        <family val="1"/>
      </rPr>
      <t>=</t>
    </r>
  </si>
  <si>
    <r>
      <t>G</t>
    </r>
    <r>
      <rPr>
        <vertAlign val="subscript"/>
        <sz val="10"/>
        <rFont val="Book Antiqua"/>
        <family val="1"/>
      </rPr>
      <t>W</t>
    </r>
    <r>
      <rPr>
        <sz val="10"/>
        <rFont val="Book Antiqua"/>
        <family val="1"/>
      </rPr>
      <t>=</t>
    </r>
  </si>
  <si>
    <t>genl G=</t>
  </si>
  <si>
    <r>
      <t>genMSE</t>
    </r>
    <r>
      <rPr>
        <vertAlign val="subscript"/>
        <sz val="10"/>
        <rFont val="Book Antiqua"/>
        <family val="1"/>
      </rPr>
      <t>G</t>
    </r>
    <r>
      <rPr>
        <sz val="10"/>
        <rFont val="Book Antiqua"/>
        <family val="1"/>
      </rPr>
      <t>=</t>
    </r>
  </si>
  <si>
    <t>weighted skew</t>
  </si>
  <si>
    <t>label</t>
  </si>
  <si>
    <t>rank</t>
  </si>
  <si>
    <t>X-axis tick mark coordinates</t>
  </si>
  <si>
    <t>Ycoord</t>
  </si>
  <si>
    <t>Xcoord</t>
  </si>
  <si>
    <t>probability axis</t>
  </si>
  <si>
    <t>Y-axis tick mark coordinates</t>
  </si>
  <si>
    <t>log axis</t>
  </si>
  <si>
    <t>log (obs)</t>
  </si>
  <si>
    <t>X-coord</t>
  </si>
  <si>
    <t>obs. peak</t>
  </si>
  <si>
    <t>standard deviation</t>
  </si>
  <si>
    <t>generalized skew</t>
  </si>
  <si>
    <t>Confidence Limits</t>
  </si>
  <si>
    <t>Log Q(95)</t>
  </si>
  <si>
    <t>Q(95)</t>
  </si>
  <si>
    <t>Log Q(5)</t>
  </si>
  <si>
    <t>Q(5)</t>
  </si>
  <si>
    <t>a</t>
  </si>
  <si>
    <t>b</t>
  </si>
  <si>
    <r>
      <t>K</t>
    </r>
    <r>
      <rPr>
        <vertAlign val="subscript"/>
        <sz val="10"/>
        <rFont val="Book Antiqua"/>
        <family val="1"/>
      </rPr>
      <t>upper</t>
    </r>
  </si>
  <si>
    <r>
      <t>K</t>
    </r>
    <r>
      <rPr>
        <vertAlign val="subscript"/>
        <sz val="10"/>
        <rFont val="Book Antiqua"/>
        <family val="1"/>
      </rPr>
      <t>lower</t>
    </r>
  </si>
  <si>
    <t>Outlier tests:</t>
  </si>
  <si>
    <t>(yr)</t>
  </si>
  <si>
    <t>(m)</t>
  </si>
  <si>
    <t>(d)</t>
  </si>
  <si>
    <t>years of record</t>
  </si>
  <si>
    <t>curves:</t>
  </si>
  <si>
    <t>points:</t>
  </si>
  <si>
    <t>Frequency curve spreadsheet</t>
  </si>
  <si>
    <t>Step 1:</t>
  </si>
  <si>
    <t xml:space="preserve"> load peaks into column E, "basic data" tab</t>
  </si>
  <si>
    <t>date and gage height may be entered, but are not used in the calculations</t>
  </si>
  <si>
    <t>++</t>
  </si>
  <si>
    <t>Step 2:</t>
  </si>
  <si>
    <t>Step 3:</t>
  </si>
  <si>
    <t>numbers in red are calculated from button in step 2</t>
  </si>
  <si>
    <t>user enters numbers in blue</t>
  </si>
  <si>
    <t>computed "station" skew</t>
  </si>
  <si>
    <t>n</t>
  </si>
  <si>
    <t>Kn</t>
  </si>
  <si>
    <t>outlier K:</t>
  </si>
  <si>
    <t>cutoff (cfs)</t>
  </si>
  <si>
    <t>outliers?=&gt;</t>
  </si>
  <si>
    <r>
      <t>X</t>
    </r>
    <r>
      <rPr>
        <vertAlign val="subscript"/>
        <sz val="10"/>
        <rFont val="Book Antiqua"/>
        <family val="1"/>
      </rPr>
      <t>H</t>
    </r>
    <r>
      <rPr>
        <sz val="10"/>
        <rFont val="Book Antiqua"/>
        <family val="1"/>
      </rPr>
      <t>=</t>
    </r>
  </si>
  <si>
    <r>
      <t>X</t>
    </r>
    <r>
      <rPr>
        <vertAlign val="subscript"/>
        <sz val="10"/>
        <rFont val="Book Antiqua"/>
        <family val="1"/>
      </rPr>
      <t>L</t>
    </r>
    <r>
      <rPr>
        <sz val="10"/>
        <rFont val="Book Antiqua"/>
        <family val="1"/>
      </rPr>
      <t>=</t>
    </r>
  </si>
  <si>
    <t>Step 4:</t>
  </si>
  <si>
    <t>K values</t>
  </si>
  <si>
    <t>Axis limits</t>
  </si>
  <si>
    <t>X axis</t>
  </si>
  <si>
    <t>Y axis</t>
  </si>
  <si>
    <t>high</t>
  </si>
  <si>
    <t>low</t>
  </si>
  <si>
    <t>Note: which skew value is used?</t>
  </si>
  <si>
    <t>the stream name you insert in cell A1, will be the title on the frequency curve graph</t>
  </si>
  <si>
    <t>What does this do?</t>
  </si>
  <si>
    <t>The skew affects the curviness of the graph, with positive tending toward concave upward.</t>
  </si>
  <si>
    <t>The generalized skew entered in step 3 influences the overall "weighted" skew.  See basic data cell K14.</t>
  </si>
  <si>
    <t>K, as described by Bulletin 17B, p. 9, is a factor that is a function of skew and exceedance probability.</t>
  </si>
  <si>
    <t>enter generalized skew in sheet "basic data" cell K9</t>
  </si>
  <si>
    <t xml:space="preserve"> (often obtained from Bulletin 17b Plate I, see sheet "Plate I" and note below)</t>
  </si>
  <si>
    <t>i</t>
  </si>
  <si>
    <t>x</t>
  </si>
  <si>
    <t>old Y axis limits</t>
  </si>
  <si>
    <t>Step 5:</t>
  </si>
  <si>
    <t>note:</t>
  </si>
  <si>
    <t>Optional: Save the frequency curve to another file, without the button sheet, K value sheet, or Plate I sheet.  (Makes a smaller file.)</t>
  </si>
  <si>
    <t>Based on Appendix 5 of Bulletin 17b, this procecure is used when the historic record</t>
  </si>
  <si>
    <t>of annual peaks has been truncated by the omission of peaks below a threshold, or</t>
  </si>
  <si>
    <t>years of zero flow, and/or low outlier years.  This adjustment should NOT be used when</t>
  </si>
  <si>
    <t>current high outliers</t>
  </si>
  <si>
    <t>current low outliers</t>
  </si>
  <si>
    <t># high =</t>
  </si>
  <si>
    <t># low =</t>
  </si>
  <si>
    <t>code</t>
  </si>
  <si>
    <t># high</t>
  </si>
  <si>
    <t># low</t>
  </si>
  <si>
    <t>complete outliers list:</t>
  </si>
  <si>
    <r>
      <t xml:space="preserve">note: </t>
    </r>
    <r>
      <rPr>
        <sz val="10"/>
        <rFont val="Book Antiqua"/>
        <family val="1"/>
      </rPr>
      <t>complete outlier list begins at cell J28 of the "basic data" sheet</t>
    </r>
  </si>
  <si>
    <t>hist.length</t>
  </si>
  <si>
    <r>
      <t>G</t>
    </r>
    <r>
      <rPr>
        <vertAlign val="subscript"/>
        <sz val="10"/>
        <rFont val="Book Antiqua"/>
        <family val="1"/>
      </rPr>
      <t>W</t>
    </r>
    <r>
      <rPr>
        <sz val="10"/>
        <rFont val="Book Antiqua"/>
        <family val="1"/>
      </rPr>
      <t>=</t>
    </r>
  </si>
  <si>
    <t>Optional: Perform historic data analysis</t>
  </si>
  <si>
    <t>period longer than the systematic record.  High outliers can also be treated with these</t>
  </si>
  <si>
    <t>procedures.  See Appendix 6 and example problem 2, page 12-15.</t>
  </si>
  <si>
    <t>can be supplimented with historic peaks that are known to be the highest in an historical</t>
  </si>
  <si>
    <t>Press button:</t>
  </si>
  <si>
    <t>Step 6:</t>
  </si>
  <si>
    <t>Step 7:</t>
  </si>
  <si>
    <t>Optional: Perform conditonal probability adjustment</t>
  </si>
  <si>
    <t>see comment</t>
  </si>
  <si>
    <t>To test the effect of other skew vlaues on the frequency curve...  ===►</t>
  </si>
  <si>
    <r>
      <t>K</t>
    </r>
    <r>
      <rPr>
        <vertAlign val="subscript"/>
        <sz val="10"/>
        <rFont val="Book Antiqua"/>
        <family val="1"/>
      </rPr>
      <t>N</t>
    </r>
    <r>
      <rPr>
        <sz val="10"/>
        <rFont val="Book Antiqua"/>
        <family val="1"/>
      </rPr>
      <t xml:space="preserve"> =</t>
    </r>
  </si>
  <si>
    <t>Adjusted statistics used to plot curve are in row 1 of the "curves" sheet.</t>
  </si>
  <si>
    <t>calculate basics statistics (by pressing button):</t>
  </si>
  <si>
    <t>check for and remove outliers, recalculate statistics (by pressing button):</t>
  </si>
  <si>
    <t>interpolate K values and adjust frequency curve plot (by pressing button):</t>
  </si>
  <si>
    <t>Enter any historic peaks into the outlier list ("basic data" below cell J28).  If there are none, existing high outliers will be used.</t>
  </si>
  <si>
    <t xml:space="preserve">(all of which are stored in the outlier list).  If additional zero peaks or truncated peaks are known, </t>
  </si>
  <si>
    <t>which are not in the systematic record, they may be added by the user to the outlier list.</t>
  </si>
  <si>
    <t>This procedure uses low outliers and peaks of zero value in the systematic record</t>
  </si>
  <si>
    <t>If none of these additional peaks exist, or they have already been added, press button:</t>
  </si>
  <si>
    <t>Adjusted statistics used to plot curve are in row 24 of the "curves" sheet.</t>
  </si>
  <si>
    <t>(On the "basic data" sheet.  An "L" must be included in column J.)</t>
  </si>
  <si>
    <t>Based on Appendix 6 of Bulletin 17B, this procecure is used when the systematic record</t>
  </si>
  <si>
    <t>more than 25% of the record is zero or has been truncated (but this is checked for automatically).</t>
  </si>
  <si>
    <t>Gringorten</t>
  </si>
  <si>
    <t>other options:</t>
  </si>
  <si>
    <t>plot observed points using alternative plotting positions</t>
  </si>
  <si>
    <t>Weibull (default)</t>
  </si>
  <si>
    <t>prob</t>
  </si>
  <si>
    <t>expected probability adjustment</t>
  </si>
  <si>
    <t>prob(adj)</t>
  </si>
  <si>
    <t>plot "expected probability" adjusted curve</t>
  </si>
  <si>
    <t>It is recommended that the adjusted curve not be plotted when the absolute value of the weighted skew (Cell I1 in curves) is greater than 1.</t>
  </si>
  <si>
    <t>This adjustment is discussed in Bulletin 17B, page 24, and Appendix 11.</t>
  </si>
  <si>
    <t>see comment here</t>
  </si>
  <si>
    <t>Cunnane</t>
  </si>
  <si>
    <t>You can read the frequency curve yourself, or else have the spreadsheet</t>
  </si>
  <si>
    <t>contact</t>
  </si>
  <si>
    <r>
      <t>note:</t>
    </r>
    <r>
      <rPr>
        <sz val="10"/>
        <rFont val="Book Antiqua"/>
        <family val="1"/>
      </rPr>
      <t xml:space="preserve"> this procedure plots a temporary curve, with user-entered G</t>
    </r>
    <r>
      <rPr>
        <vertAlign val="subscript"/>
        <sz val="10"/>
        <rFont val="Book Antiqua"/>
        <family val="1"/>
      </rPr>
      <t>w</t>
    </r>
    <r>
      <rPr>
        <sz val="10"/>
        <rFont val="Book Antiqua"/>
        <family val="1"/>
      </rPr>
      <t>,</t>
    </r>
  </si>
  <si>
    <t xml:space="preserve">          (calculated in "basic data"),  then returns to the correct curve.</t>
  </si>
  <si>
    <t>Current frequency curve has no conditional probability adjustment.</t>
  </si>
  <si>
    <t>Error bar lengths</t>
  </si>
  <si>
    <t>parallel to Y</t>
  </si>
  <si>
    <t>parallel to X</t>
  </si>
  <si>
    <t>Enter the number of years extended by the historic period in "basic data" cell O25.  (See comment at "basic data" cell O24 for info.)</t>
  </si>
  <si>
    <t>Current frequency curve has no step 5 or 6 adjustments.</t>
  </si>
  <si>
    <t>Current frequency curve has no historic data adjustment.</t>
  </si>
  <si>
    <t>Current frequency curve has not been historically adjusted.</t>
  </si>
  <si>
    <t>recurrence</t>
  </si>
  <si>
    <r>
      <t>Q</t>
    </r>
    <r>
      <rPr>
        <vertAlign val="subscript"/>
        <sz val="12"/>
        <rFont val="Book Antiqua"/>
        <family val="1"/>
      </rPr>
      <t>5</t>
    </r>
  </si>
  <si>
    <r>
      <t>Q</t>
    </r>
    <r>
      <rPr>
        <vertAlign val="subscript"/>
        <sz val="12"/>
        <rFont val="Book Antiqua"/>
        <family val="1"/>
      </rPr>
      <t>95</t>
    </r>
  </si>
  <si>
    <t>(years)</t>
  </si>
  <si>
    <t>(It only shows up for exceedance probabilities less than 50.)</t>
  </si>
  <si>
    <t>On the frequency curve graph, the expected probability curve, when plotted, is a long dash style and purple color.</t>
  </si>
  <si>
    <t>probability</t>
  </si>
  <si>
    <t>(percent)</t>
  </si>
  <si>
    <t>you may have any number of years of record (but don't forget to remove any data from a previous run)</t>
  </si>
  <si>
    <t>produce the precise probability, recurrence interval, and flow, given any of them as input.</t>
  </si>
  <si>
    <r>
      <t>Q</t>
    </r>
    <r>
      <rPr>
        <b/>
        <vertAlign val="subscript"/>
        <sz val="10"/>
        <rFont val="Book Antiqua"/>
        <family val="1"/>
      </rPr>
      <t>5</t>
    </r>
  </si>
  <si>
    <r>
      <t>Q</t>
    </r>
    <r>
      <rPr>
        <b/>
        <vertAlign val="subscript"/>
        <sz val="10"/>
        <rFont val="Book Antiqua"/>
        <family val="1"/>
      </rPr>
      <t>95</t>
    </r>
  </si>
  <si>
    <r>
      <rPr>
        <sz val="10"/>
        <rFont val="Book Antiqua"/>
        <family val="1"/>
      </rPr>
      <t>output of "</t>
    </r>
    <r>
      <rPr>
        <b/>
        <sz val="10"/>
        <rFont val="Book Antiqua"/>
        <family val="1"/>
      </rPr>
      <t>read frequency curve"</t>
    </r>
    <r>
      <rPr>
        <sz val="10"/>
        <rFont val="Book Antiqua"/>
        <family val="1"/>
      </rPr>
      <t xml:space="preserve"> button:</t>
    </r>
  </si>
  <si>
    <t>#</t>
  </si>
  <si>
    <t># U.S. Geological Survey</t>
  </si>
  <si>
    <t># National Water Information System</t>
  </si>
  <si>
    <t># More data may be available offline.</t>
  </si>
  <si>
    <t># For more information on these data,  contact  USGS Water Data Inquiries.</t>
  </si>
  <si>
    <t># This file contains the annual peak streamflow data.</t>
  </si>
  <si>
    <t># This information includes the following fields:</t>
  </si>
  <si>
    <t>#  agency_cd     Agency Code</t>
  </si>
  <si>
    <t>#  site_no       USGS station number</t>
  </si>
  <si>
    <t>#  peak_dt       Date of peak streamflow (format YYYY-MM-DD)</t>
  </si>
  <si>
    <t>#  peak_tm       Time of peak streamflow (24 hour format, 00:00 - 23:59)</t>
  </si>
  <si>
    <t>#  peak_va       Annual peak streamflow value in cfs</t>
  </si>
  <si>
    <t>#  peak_cd       Peak Discharge-Qualification codes (see explanation below)</t>
  </si>
  <si>
    <t>#  gage_ht       Gage height for the associated peak streamflow in feet</t>
  </si>
  <si>
    <t>#  gage_ht_cd    Gage height qualification codes</t>
  </si>
  <si>
    <t>#  year_last_pk  Peak streamflow reported is the highest since this year</t>
  </si>
  <si>
    <t>#  ag_dt         Date of maximum gage-height for water year (if not concurrent with peak)</t>
  </si>
  <si>
    <t>#  ag_tm         Time of maximum gage-height for water year (if not concurrent with peak</t>
  </si>
  <si>
    <t>#  ag_gage_ht    maximum Gage height for water year in feet (if not concurrent with peak</t>
  </si>
  <si>
    <t>#  ag_gage_ht_cd maximum Gage height code</t>
  </si>
  <si>
    <t># Sites in this file include:</t>
  </si>
  <si>
    <t># Peak Streamflow-Qualification Codes(peak_cd):</t>
  </si>
  <si>
    <t>#   1 ... Discharge is a Maximum Daily Average</t>
  </si>
  <si>
    <t>#   2 ... Discharge is an Estimate</t>
  </si>
  <si>
    <t>#   3 ... Discharge affected by Dam Failure</t>
  </si>
  <si>
    <t>#   4 ... Discharge less than indicated value,</t>
  </si>
  <si>
    <t>#           which is Minimum Recordable Discharge at this site</t>
  </si>
  <si>
    <t>#   5 ... Discharge affected to unknown degree by</t>
  </si>
  <si>
    <t>#           Regulation or Diversion</t>
  </si>
  <si>
    <t>#   6 ... Discharge affected by Regulation or Diversion</t>
  </si>
  <si>
    <t>#   7 ... Discharge is an Historic Peak</t>
  </si>
  <si>
    <t>#   8 ... Discharge actually greater than indicated value</t>
  </si>
  <si>
    <t>#   9 ... Discharge due to Snowmelt, Hurricane,</t>
  </si>
  <si>
    <t>#           Ice-Jam or Debris Dam breakup</t>
  </si>
  <si>
    <t>#   A ... Year of occurrence is unknown or not exact</t>
  </si>
  <si>
    <t>#   C ... All or part of the record affected by Urbanization,</t>
  </si>
  <si>
    <t>#            Mining, Agricultural changes, Channelization, or other</t>
  </si>
  <si>
    <t># Gage height qualification codes(gage_ht_cd,ag_gage_ht_cd):</t>
  </si>
  <si>
    <t>#   1 ... Gage height affected by backwater</t>
  </si>
  <si>
    <t>#   2 ... Gage height not the maximum for the year</t>
  </si>
  <si>
    <t>#   3 ... Gage height at different site and(or) datum</t>
  </si>
  <si>
    <t>#   4 ... Gage height below minimum recordable elevation</t>
  </si>
  <si>
    <t>#   5 ... Gage height is an estimate</t>
  </si>
  <si>
    <t>#   6 ... Gage datum changed during this year</t>
  </si>
  <si>
    <t>agency_cd</t>
  </si>
  <si>
    <t>site_no</t>
  </si>
  <si>
    <t>peak_dt</t>
  </si>
  <si>
    <t>peak_tm</t>
  </si>
  <si>
    <t>peak_va</t>
  </si>
  <si>
    <t>peak_cd</t>
  </si>
  <si>
    <t>gage_ht</t>
  </si>
  <si>
    <t>gage_ht_cd</t>
  </si>
  <si>
    <t>year_last_pk</t>
  </si>
  <si>
    <t>ag_dt</t>
  </si>
  <si>
    <t>ag_tm</t>
  </si>
  <si>
    <t>ag_gage_ht</t>
  </si>
  <si>
    <t>ag_gage_ht_cd</t>
  </si>
  <si>
    <t>5s</t>
  </si>
  <si>
    <t>15s</t>
  </si>
  <si>
    <t>10d</t>
  </si>
  <si>
    <t>6s</t>
  </si>
  <si>
    <t>8s</t>
  </si>
  <si>
    <t>27s</t>
  </si>
  <si>
    <t>4s</t>
  </si>
  <si>
    <t>USGS</t>
  </si>
  <si>
    <t xml:space="preserve"> </t>
  </si>
  <si>
    <t>This button brings up a USGS web page of possible stations, (in your browser).</t>
  </si>
  <si>
    <t>loads a text file of data (below), and populates the 'basic data' sheet with dates and peaks.</t>
  </si>
  <si>
    <t>If you know an 8-digit USGS station number, this button goes to USGS on the web,</t>
  </si>
  <si>
    <t>previous USGS download:</t>
  </si>
  <si>
    <t>option: use the gage lookup sheet to load data automatically</t>
  </si>
  <si>
    <t>http://nwis.waterdata.usgs.gov/nwis/peak?state_cd=ar&amp;format=station_list</t>
  </si>
  <si>
    <r>
      <t>Q</t>
    </r>
    <r>
      <rPr>
        <vertAlign val="subscript"/>
        <sz val="10"/>
        <rFont val="Book Antiqua"/>
        <family val="1"/>
      </rPr>
      <t>curve</t>
    </r>
    <r>
      <rPr>
        <sz val="10"/>
        <rFont val="Book Antiqua"/>
        <family val="1"/>
      </rPr>
      <t xml:space="preserve"> (cfs)</t>
    </r>
  </si>
  <si>
    <t>Version:    3.06  (released August 2014)</t>
  </si>
  <si>
    <t># ---------------------------------- WARNING ----------------------------------------</t>
  </si>
  <si>
    <t># Some of the data that you have obtained from this U.S. Geological Survey database</t>
  </si>
  <si>
    <t># may not have received Director's approval. Any such data values are qualified</t>
  </si>
  <si>
    <t># as provisional and are subject to revision. Provisional data are released on the</t>
  </si>
  <si>
    <t># condition that neither the USGS nor the United States Government may be held liable</t>
  </si>
  <si>
    <t># for any damages resulting from its use.</t>
  </si>
  <si>
    <t>#   Bd ... Day of occurrence is unknown or not exact</t>
  </si>
  <si>
    <t>#   Bm ... Month of occurrence is unknown or not exact</t>
  </si>
  <si>
    <t>#   F ... Peak supplied by another agency</t>
  </si>
  <si>
    <t>#   O ... Opportunistic value not from systematic data collection</t>
  </si>
  <si>
    <t>#   R ... Revised</t>
  </si>
  <si>
    <t>#   7 ... Debris, mud, or hyper-concentrated flow</t>
  </si>
  <si>
    <t>#   8 ... Gage height tidally affected</t>
  </si>
  <si>
    <t>33s</t>
  </si>
  <si>
    <t>URL;http://nwis.waterdata.usgs.gov/nwis/peak?site_no=04027000&amp;agency_cd=USGS&amp;format=rdb</t>
  </si>
  <si>
    <t># Retrieved: 2023-11-07 16:18:28 EST</t>
  </si>
  <si>
    <t>2,9</t>
  </si>
  <si>
    <t>1,2</t>
  </si>
  <si>
    <t>USGS 04027000 BAD RIVER NEAR ODANAH, WI</t>
  </si>
  <si>
    <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</si>
</sst>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0"/>
    <numFmt numFmtId="166" formatCode="0.000"/>
    <numFmt numFmtId="167" formatCode="0.0"/>
    <numFmt numFmtId="168" formatCode="dd\-mmm\-yy"/>
    <numFmt numFmtId="169" formatCode="m/d/yyyy;@"/>
  </numFmts>
  <fonts count="36" x14ac:knownFonts="1">
    <font>
      <sz val="10"/>
      <name val="Book Antiqua"/>
    </font>
    <font>
      <sz val="12"/>
      <name val="Book Antiqua"/>
      <family val="1"/>
    </font>
    <font>
      <sz val="12"/>
      <name val="Book Antiqua"/>
      <family val="1"/>
    </font>
    <font>
      <sz val="10"/>
      <name val="Book Antiqua"/>
      <family val="1"/>
    </font>
    <font>
      <sz val="10"/>
      <name val="Book Antiqua"/>
      <family val="1"/>
    </font>
    <font>
      <vertAlign val="superscript"/>
      <sz val="10"/>
      <name val="Book Antiqua"/>
      <family val="1"/>
    </font>
    <font>
      <vertAlign val="subscript"/>
      <sz val="10"/>
      <name val="Book Antiqua"/>
      <family val="1"/>
    </font>
    <font>
      <sz val="10"/>
      <name val="Book Antiqua"/>
      <family val="1"/>
    </font>
    <font>
      <sz val="8"/>
      <color indexed="81"/>
      <name val="Tahoma"/>
      <family val="2"/>
    </font>
    <font>
      <b/>
      <sz val="8"/>
      <color indexed="81"/>
      <name val="Tahoma"/>
      <family val="2"/>
    </font>
    <font>
      <b/>
      <sz val="10"/>
      <name val="Book Antiqua"/>
      <family val="1"/>
    </font>
    <font>
      <sz val="16"/>
      <name val="Book Antiqua"/>
      <family val="1"/>
    </font>
    <font>
      <sz val="18"/>
      <name val="Book Antiqua"/>
      <family val="1"/>
    </font>
    <font>
      <sz val="12"/>
      <name val="Book Antiqua"/>
      <family val="1"/>
    </font>
    <font>
      <b/>
      <sz val="12"/>
      <name val="Book Antiqua"/>
      <family val="1"/>
    </font>
    <font>
      <sz val="10"/>
      <color indexed="10"/>
      <name val="Book Antiqua"/>
      <family val="1"/>
    </font>
    <font>
      <sz val="10"/>
      <color indexed="12"/>
      <name val="Book Antiqua"/>
      <family val="1"/>
    </font>
    <font>
      <b/>
      <sz val="10"/>
      <color indexed="10"/>
      <name val="Book Antiqua"/>
      <family val="1"/>
    </font>
    <font>
      <sz val="10"/>
      <color indexed="81"/>
      <name val="Book Antiqua"/>
      <family val="1"/>
    </font>
    <font>
      <sz val="10"/>
      <color indexed="10"/>
      <name val="Book Antiqua"/>
      <family val="1"/>
    </font>
    <font>
      <sz val="12"/>
      <name val="Book Antiqua"/>
      <family val="1"/>
    </font>
    <font>
      <u/>
      <sz val="10"/>
      <color indexed="12"/>
      <name val="Book Antiqua"/>
      <family val="1"/>
    </font>
    <font>
      <b/>
      <sz val="10"/>
      <color indexed="8"/>
      <name val="Book Antiqua"/>
      <family val="1"/>
    </font>
    <font>
      <sz val="10"/>
      <color indexed="12"/>
      <name val="Book Antiqua"/>
      <family val="1"/>
    </font>
    <font>
      <sz val="14"/>
      <color indexed="12"/>
      <name val="Book Antiqua"/>
      <family val="1"/>
    </font>
    <font>
      <sz val="10"/>
      <color indexed="8"/>
      <name val="Book Antiqua"/>
      <family val="1"/>
    </font>
    <font>
      <b/>
      <sz val="10"/>
      <color indexed="12"/>
      <name val="Book Antiqua"/>
      <family val="1"/>
    </font>
    <font>
      <sz val="10"/>
      <color theme="1"/>
      <name val="Book Antiqua"/>
      <family val="1"/>
    </font>
    <font>
      <vertAlign val="subscript"/>
      <sz val="12"/>
      <name val="Book Antiqua"/>
      <family val="1"/>
    </font>
    <font>
      <sz val="16"/>
      <color rgb="FF0000FF"/>
      <name val="Book Antiqua"/>
      <family val="1"/>
    </font>
    <font>
      <sz val="9"/>
      <color indexed="81"/>
      <name val="Tahoma"/>
      <family val="2"/>
    </font>
    <font>
      <b/>
      <sz val="9"/>
      <color indexed="81"/>
      <name val="Tahoma"/>
      <family val="2"/>
    </font>
    <font>
      <b/>
      <vertAlign val="subscript"/>
      <sz val="10"/>
      <name val="Book Antiqua"/>
      <family val="1"/>
    </font>
    <font>
      <sz val="14"/>
      <color rgb="FF0000FF"/>
      <name val="Constantia"/>
      <family val="1"/>
    </font>
    <font>
      <sz val="14"/>
      <name val="Book Antiqua"/>
      <family val="1"/>
    </font>
    <font>
      <b/>
      <sz val="10"/>
      <name val="Constantia"/>
      <family val="1"/>
    </font>
  </fonts>
  <fills count="2">
    <fill>
      <patternFill patternType="none"/>
    </fill>
    <fill>
      <patternFill patternType="gray125"/>
    </fill>
  </fills>
  <borders count="31">
    <border>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auto="1"/>
      </left>
      <right style="thin">
        <color auto="1"/>
      </right>
      <top style="dashed">
        <color auto="1"/>
      </top>
      <bottom style="dashed">
        <color auto="1"/>
      </bottom>
      <diagonal/>
    </border>
    <border>
      <left/>
      <right/>
      <top style="dashed">
        <color auto="1"/>
      </top>
      <bottom style="dashed">
        <color auto="1"/>
      </bottom>
      <diagonal/>
    </border>
    <border>
      <left style="thin">
        <color indexed="64"/>
      </left>
      <right style="thin">
        <color indexed="64"/>
      </right>
      <top style="dashed">
        <color auto="1"/>
      </top>
      <bottom style="dashed">
        <color auto="1"/>
      </bottom>
      <diagonal/>
    </border>
    <border>
      <left style="thin">
        <color indexed="64"/>
      </left>
      <right style="medium">
        <color indexed="64"/>
      </right>
      <top style="dashed">
        <color auto="1"/>
      </top>
      <bottom style="dashed">
        <color auto="1"/>
      </bottom>
      <diagonal/>
    </border>
    <border>
      <left style="thin">
        <color indexed="64"/>
      </left>
      <right style="medium">
        <color indexed="64"/>
      </right>
      <top/>
      <bottom style="medium">
        <color auto="1"/>
      </bottom>
      <diagonal/>
    </border>
  </borders>
  <cellStyleXfs count="2">
    <xf numFmtId="0" fontId="0" fillId="0" borderId="0"/>
    <xf numFmtId="0" fontId="21" fillId="0" borderId="0" applyNumberFormat="0" applyFill="0" applyBorder="0" applyAlignment="0" applyProtection="0">
      <alignment vertical="top"/>
      <protection locked="0"/>
    </xf>
  </cellStyleXfs>
  <cellXfs count="127">
    <xf numFmtId="0" fontId="0" fillId="0" borderId="0" xfId="0"/>
    <xf numFmtId="0" fontId="0" fillId="0" borderId="0" xfId="0" applyAlignment="1">
      <alignment horizontal="center"/>
    </xf>
    <xf numFmtId="165" fontId="0" fillId="0" borderId="0" xfId="0" applyNumberFormat="1"/>
    <xf numFmtId="166" fontId="0" fillId="0" borderId="0" xfId="0" applyNumberFormat="1"/>
    <xf numFmtId="0" fontId="0" fillId="0" borderId="0" xfId="0" applyAlignment="1">
      <alignment horizontal="right"/>
    </xf>
    <xf numFmtId="1" fontId="0" fillId="0" borderId="0" xfId="0" applyNumberFormat="1"/>
    <xf numFmtId="0" fontId="7" fillId="0" borderId="0" xfId="0" applyFont="1"/>
    <xf numFmtId="2" fontId="0" fillId="0" borderId="0" xfId="0" applyNumberFormat="1" applyAlignment="1">
      <alignment horizontal="right"/>
    </xf>
    <xf numFmtId="2" fontId="0" fillId="0" borderId="0" xfId="0" applyNumberFormat="1"/>
    <xf numFmtId="1" fontId="0" fillId="0" borderId="0" xfId="0" applyNumberFormat="1" applyAlignment="1">
      <alignment horizontal="center"/>
    </xf>
    <xf numFmtId="0" fontId="10" fillId="0" borderId="0" xfId="0" applyFont="1"/>
    <xf numFmtId="164" fontId="0" fillId="0" borderId="0" xfId="0" applyNumberFormat="1"/>
    <xf numFmtId="166" fontId="0" fillId="0" borderId="1" xfId="0" applyNumberFormat="1" applyBorder="1"/>
    <xf numFmtId="0" fontId="0" fillId="0" borderId="2" xfId="0" applyBorder="1"/>
    <xf numFmtId="0" fontId="0" fillId="0" borderId="2" xfId="0" applyBorder="1" applyAlignment="1">
      <alignment horizontal="center"/>
    </xf>
    <xf numFmtId="0" fontId="0" fillId="0" borderId="3" xfId="0" applyBorder="1" applyAlignment="1">
      <alignment horizontal="center"/>
    </xf>
    <xf numFmtId="0" fontId="11" fillId="0" borderId="0" xfId="0" applyFont="1"/>
    <xf numFmtId="0" fontId="13" fillId="0" borderId="0" xfId="0" applyFont="1"/>
    <xf numFmtId="0" fontId="0" fillId="0" borderId="0" xfId="0" quotePrefix="1" applyAlignment="1">
      <alignment horizontal="right"/>
    </xf>
    <xf numFmtId="0" fontId="14" fillId="0" borderId="0" xfId="0" applyFont="1"/>
    <xf numFmtId="166" fontId="15" fillId="0" borderId="0" xfId="0" applyNumberFormat="1" applyFont="1"/>
    <xf numFmtId="0" fontId="15" fillId="0" borderId="0" xfId="0" applyFont="1"/>
    <xf numFmtId="0" fontId="16" fillId="0" borderId="0" xfId="0" applyFont="1"/>
    <xf numFmtId="0" fontId="16" fillId="0" borderId="0" xfId="0" applyFont="1" applyAlignment="1">
      <alignment horizontal="left"/>
    </xf>
    <xf numFmtId="2" fontId="16" fillId="0" borderId="0" xfId="0" applyNumberFormat="1" applyFont="1" applyAlignment="1">
      <alignment horizontal="left"/>
    </xf>
    <xf numFmtId="0" fontId="15" fillId="0" borderId="0" xfId="0" applyFont="1" applyAlignment="1">
      <alignment horizontal="left"/>
    </xf>
    <xf numFmtId="165" fontId="15" fillId="0" borderId="0" xfId="0" applyNumberFormat="1" applyFont="1" applyAlignment="1">
      <alignment horizontal="left"/>
    </xf>
    <xf numFmtId="164" fontId="15" fillId="0" borderId="0" xfId="0" applyNumberFormat="1" applyFont="1" applyAlignment="1">
      <alignment horizontal="left"/>
    </xf>
    <xf numFmtId="166" fontId="15" fillId="0" borderId="0" xfId="0" applyNumberFormat="1" applyFont="1" applyAlignment="1">
      <alignment horizontal="left"/>
    </xf>
    <xf numFmtId="0" fontId="10" fillId="0" borderId="0" xfId="0" quotePrefix="1" applyFont="1" applyAlignment="1">
      <alignment horizontal="right"/>
    </xf>
    <xf numFmtId="164" fontId="7" fillId="0" borderId="0" xfId="0" applyNumberFormat="1" applyFont="1"/>
    <xf numFmtId="166" fontId="17" fillId="0" borderId="0" xfId="0" applyNumberFormat="1" applyFont="1"/>
    <xf numFmtId="1" fontId="15" fillId="0" borderId="0" xfId="0" applyNumberFormat="1" applyFont="1" applyAlignment="1">
      <alignment horizontal="left"/>
    </xf>
    <xf numFmtId="2" fontId="10" fillId="0" borderId="0" xfId="0" applyNumberFormat="1" applyFont="1"/>
    <xf numFmtId="0" fontId="12" fillId="0" borderId="0" xfId="0" applyFont="1" applyAlignment="1">
      <alignment vertical="center"/>
    </xf>
    <xf numFmtId="166" fontId="19" fillId="0" borderId="0" xfId="0" applyNumberFormat="1" applyFont="1"/>
    <xf numFmtId="1" fontId="19" fillId="0" borderId="0" xfId="0" applyNumberFormat="1" applyFont="1" applyAlignment="1">
      <alignment horizontal="right"/>
    </xf>
    <xf numFmtId="1" fontId="19" fillId="0" borderId="0" xfId="0" applyNumberFormat="1" applyFont="1"/>
    <xf numFmtId="0" fontId="19" fillId="0" borderId="0" xfId="0" applyFont="1"/>
    <xf numFmtId="0" fontId="20" fillId="0" borderId="0" xfId="0" applyFont="1" applyAlignment="1">
      <alignment vertical="center"/>
    </xf>
    <xf numFmtId="0" fontId="0" fillId="0" borderId="0" xfId="0" applyAlignment="1">
      <alignment horizontal="left"/>
    </xf>
    <xf numFmtId="167" fontId="15" fillId="0" borderId="0" xfId="0" applyNumberFormat="1" applyFont="1" applyAlignment="1">
      <alignment horizontal="left"/>
    </xf>
    <xf numFmtId="0" fontId="21" fillId="0" borderId="0" xfId="1" applyAlignment="1" applyProtection="1">
      <alignment horizontal="center"/>
    </xf>
    <xf numFmtId="168" fontId="22" fillId="0" borderId="0" xfId="0" applyNumberFormat="1" applyFont="1"/>
    <xf numFmtId="166" fontId="23" fillId="0" borderId="0" xfId="0" applyNumberFormat="1" applyFont="1"/>
    <xf numFmtId="0" fontId="23" fillId="0" borderId="0" xfId="0" applyFont="1"/>
    <xf numFmtId="1" fontId="23" fillId="0" borderId="0" xfId="0" applyNumberFormat="1" applyFont="1"/>
    <xf numFmtId="1" fontId="16" fillId="0" borderId="0" xfId="0" applyNumberFormat="1" applyFont="1"/>
    <xf numFmtId="166" fontId="23" fillId="0" borderId="0" xfId="0" applyNumberFormat="1" applyFont="1" applyAlignment="1">
      <alignment horizontal="left"/>
    </xf>
    <xf numFmtId="0" fontId="23" fillId="0" borderId="0" xfId="0" applyFont="1" applyAlignment="1">
      <alignment horizontal="left"/>
    </xf>
    <xf numFmtId="165" fontId="23" fillId="0" borderId="0" xfId="0" applyNumberFormat="1" applyFont="1" applyAlignment="1">
      <alignment horizontal="left"/>
    </xf>
    <xf numFmtId="14" fontId="16" fillId="0" borderId="0" xfId="0" applyNumberFormat="1" applyFont="1"/>
    <xf numFmtId="14" fontId="23" fillId="0" borderId="0" xfId="0" applyNumberFormat="1" applyFont="1"/>
    <xf numFmtId="166" fontId="0" fillId="0" borderId="4" xfId="0" applyNumberFormat="1" applyBorder="1"/>
    <xf numFmtId="0" fontId="25" fillId="0" borderId="0" xfId="0" applyFont="1"/>
    <xf numFmtId="169" fontId="16" fillId="0" borderId="0" xfId="0" applyNumberFormat="1" applyFont="1"/>
    <xf numFmtId="0" fontId="4" fillId="0" borderId="0" xfId="0" applyFont="1"/>
    <xf numFmtId="0" fontId="26" fillId="0" borderId="0" xfId="0" applyFont="1" applyAlignment="1">
      <alignment horizontal="left"/>
    </xf>
    <xf numFmtId="1" fontId="15" fillId="0" borderId="0" xfId="0" applyNumberFormat="1" applyFont="1"/>
    <xf numFmtId="166" fontId="27" fillId="0" borderId="0" xfId="0" applyNumberFormat="1" applyFont="1"/>
    <xf numFmtId="0" fontId="0" fillId="0" borderId="5" xfId="0" applyBorder="1"/>
    <xf numFmtId="0" fontId="0" fillId="0" borderId="5" xfId="0" applyBorder="1" applyAlignment="1">
      <alignment horizontal="right"/>
    </xf>
    <xf numFmtId="0" fontId="10" fillId="0" borderId="6" xfId="0" applyFont="1" applyBorder="1"/>
    <xf numFmtId="0" fontId="0" fillId="0" borderId="7" xfId="0" applyBorder="1"/>
    <xf numFmtId="1" fontId="0" fillId="0" borderId="7" xfId="0" applyNumberFormat="1" applyBorder="1"/>
    <xf numFmtId="166" fontId="0" fillId="0" borderId="7" xfId="0" applyNumberFormat="1" applyBorder="1"/>
    <xf numFmtId="0" fontId="0" fillId="0" borderId="8" xfId="0" applyBorder="1"/>
    <xf numFmtId="0" fontId="0" fillId="0" borderId="9" xfId="0" applyBorder="1"/>
    <xf numFmtId="0" fontId="0" fillId="0" borderId="10" xfId="0" applyBorder="1"/>
    <xf numFmtId="0" fontId="27" fillId="0" borderId="0" xfId="0" applyFont="1"/>
    <xf numFmtId="0" fontId="27" fillId="0" borderId="2" xfId="0" applyFont="1" applyBorder="1" applyAlignment="1">
      <alignment horizontal="center"/>
    </xf>
    <xf numFmtId="1" fontId="27" fillId="0" borderId="0" xfId="0" applyNumberFormat="1" applyFont="1"/>
    <xf numFmtId="0" fontId="16" fillId="0" borderId="0" xfId="0" applyFont="1" applyAlignment="1">
      <alignment horizontal="center"/>
    </xf>
    <xf numFmtId="0" fontId="10" fillId="0" borderId="0" xfId="0" applyFont="1" applyAlignment="1">
      <alignment horizontal="center"/>
    </xf>
    <xf numFmtId="0" fontId="15" fillId="0" borderId="0" xfId="0" applyFont="1" applyAlignment="1">
      <alignment horizontal="center"/>
    </xf>
    <xf numFmtId="0" fontId="3" fillId="0" borderId="0" xfId="0" applyFont="1"/>
    <xf numFmtId="3" fontId="3" fillId="0" borderId="0" xfId="0" applyNumberFormat="1" applyFont="1" applyAlignment="1">
      <alignment horizontal="center" vertical="center"/>
    </xf>
    <xf numFmtId="0" fontId="2" fillId="0" borderId="4" xfId="0" applyFont="1" applyBorder="1" applyAlignment="1">
      <alignment horizontal="center" vertical="center"/>
    </xf>
    <xf numFmtId="3" fontId="3" fillId="0" borderId="2" xfId="0" applyNumberFormat="1" applyFont="1" applyBorder="1" applyAlignment="1">
      <alignment horizontal="center" vertical="center"/>
    </xf>
    <xf numFmtId="0" fontId="2" fillId="0" borderId="11" xfId="0" applyFont="1" applyBorder="1" applyAlignment="1">
      <alignment horizontal="center" vertical="center"/>
    </xf>
    <xf numFmtId="3" fontId="3" fillId="0" borderId="1" xfId="0" applyNumberFormat="1" applyFont="1" applyBorder="1" applyAlignment="1">
      <alignment horizontal="center" vertical="center"/>
    </xf>
    <xf numFmtId="3" fontId="3" fillId="0" borderId="12" xfId="0" applyNumberFormat="1" applyFont="1" applyBorder="1" applyAlignment="1">
      <alignment horizontal="center" vertical="center"/>
    </xf>
    <xf numFmtId="0" fontId="3" fillId="0" borderId="2" xfId="0" applyFont="1" applyBorder="1" applyAlignment="1">
      <alignment horizontal="center" vertical="center"/>
    </xf>
    <xf numFmtId="0" fontId="3" fillId="0" borderId="12" xfId="0" applyFont="1" applyBorder="1" applyAlignment="1">
      <alignment horizontal="center" vertical="center"/>
    </xf>
    <xf numFmtId="0" fontId="2" fillId="0" borderId="13" xfId="0" applyFont="1" applyBorder="1" applyAlignment="1">
      <alignment horizontal="center" vertical="center"/>
    </xf>
    <xf numFmtId="0" fontId="3" fillId="0" borderId="14" xfId="0" applyFont="1" applyBorder="1" applyAlignment="1">
      <alignment horizontal="center" vertical="center"/>
    </xf>
    <xf numFmtId="0" fontId="2" fillId="0" borderId="15" xfId="0" applyFont="1" applyBorder="1" applyAlignment="1">
      <alignment horizontal="center" vertical="center"/>
    </xf>
    <xf numFmtId="166" fontId="2" fillId="0" borderId="14" xfId="0" applyNumberFormat="1" applyFont="1" applyBorder="1" applyAlignment="1">
      <alignment horizontal="center" vertical="center"/>
    </xf>
    <xf numFmtId="3" fontId="3" fillId="0" borderId="16" xfId="0" applyNumberFormat="1" applyFont="1" applyBorder="1" applyAlignment="1">
      <alignment horizontal="center" vertical="center"/>
    </xf>
    <xf numFmtId="3" fontId="3" fillId="0" borderId="17" xfId="0" applyNumberFormat="1" applyFont="1" applyBorder="1" applyAlignment="1">
      <alignment horizontal="center" vertical="center"/>
    </xf>
    <xf numFmtId="3" fontId="3" fillId="0" borderId="18" xfId="0" applyNumberFormat="1" applyFont="1" applyBorder="1" applyAlignment="1">
      <alignment horizontal="center" vertical="center"/>
    </xf>
    <xf numFmtId="0" fontId="2" fillId="0" borderId="19" xfId="0" applyFont="1" applyBorder="1" applyAlignment="1">
      <alignment horizontal="center" vertical="center"/>
    </xf>
    <xf numFmtId="166" fontId="2" fillId="0" borderId="19" xfId="0" applyNumberFormat="1" applyFont="1" applyBorder="1" applyAlignment="1">
      <alignment horizontal="center" vertical="center"/>
    </xf>
    <xf numFmtId="0" fontId="10" fillId="0" borderId="0" xfId="0" applyFont="1" applyAlignment="1">
      <alignment horizontal="left" vertical="center"/>
    </xf>
    <xf numFmtId="0" fontId="2" fillId="0" borderId="0" xfId="0" applyFont="1"/>
    <xf numFmtId="0" fontId="2" fillId="0" borderId="20" xfId="0" applyFont="1" applyBorder="1" applyAlignment="1">
      <alignment horizontal="center" vertical="center"/>
    </xf>
    <xf numFmtId="0" fontId="3" fillId="0" borderId="21" xfId="0" applyFont="1" applyBorder="1" applyAlignment="1">
      <alignment horizontal="center" vertical="center"/>
    </xf>
    <xf numFmtId="3" fontId="0" fillId="0" borderId="13" xfId="0" applyNumberFormat="1" applyBorder="1" applyAlignment="1">
      <alignment horizontal="center" vertical="center"/>
    </xf>
    <xf numFmtId="3" fontId="0" fillId="0" borderId="20" xfId="0" applyNumberFormat="1" applyBorder="1" applyAlignment="1">
      <alignment horizontal="center" vertical="center"/>
    </xf>
    <xf numFmtId="3" fontId="0" fillId="0" borderId="26" xfId="0" applyNumberFormat="1" applyBorder="1" applyAlignment="1">
      <alignment horizontal="center" vertical="center"/>
    </xf>
    <xf numFmtId="3" fontId="0" fillId="0" borderId="27" xfId="0" applyNumberFormat="1" applyBorder="1" applyAlignment="1">
      <alignment horizontal="center" vertical="center"/>
    </xf>
    <xf numFmtId="3" fontId="0" fillId="0" borderId="15" xfId="0" applyNumberFormat="1" applyBorder="1" applyAlignment="1">
      <alignment horizontal="center" vertical="center"/>
    </xf>
    <xf numFmtId="3" fontId="0" fillId="0" borderId="0" xfId="0" applyNumberFormat="1" applyAlignment="1">
      <alignment horizontal="center" vertical="center"/>
    </xf>
    <xf numFmtId="3" fontId="0" fillId="0" borderId="14" xfId="0" applyNumberFormat="1" applyBorder="1" applyAlignment="1">
      <alignment horizontal="center" vertical="center"/>
    </xf>
    <xf numFmtId="3" fontId="0" fillId="0" borderId="2" xfId="0" applyNumberFormat="1" applyBorder="1" applyAlignment="1">
      <alignment horizontal="center" vertical="center"/>
    </xf>
    <xf numFmtId="3" fontId="0" fillId="0" borderId="28" xfId="0" applyNumberFormat="1" applyBorder="1" applyAlignment="1">
      <alignment horizontal="center" vertical="center"/>
    </xf>
    <xf numFmtId="3" fontId="0" fillId="0" borderId="22" xfId="0" applyNumberFormat="1" applyBorder="1" applyAlignment="1">
      <alignment horizontal="center" vertical="center"/>
    </xf>
    <xf numFmtId="3" fontId="0" fillId="0" borderId="21" xfId="0" applyNumberFormat="1" applyBorder="1" applyAlignment="1">
      <alignment horizontal="center" vertical="center"/>
    </xf>
    <xf numFmtId="2" fontId="0" fillId="0" borderId="23" xfId="0" applyNumberFormat="1" applyBorder="1" applyAlignment="1">
      <alignment horizontal="center" vertical="center"/>
    </xf>
    <xf numFmtId="2" fontId="0" fillId="0" borderId="24" xfId="0" applyNumberFormat="1" applyBorder="1" applyAlignment="1">
      <alignment horizontal="center" vertical="center"/>
    </xf>
    <xf numFmtId="2" fontId="0" fillId="0" borderId="27" xfId="0" applyNumberFormat="1" applyBorder="1" applyAlignment="1">
      <alignment horizontal="center" vertical="center"/>
    </xf>
    <xf numFmtId="2" fontId="0" fillId="0" borderId="29" xfId="0" applyNumberFormat="1" applyBorder="1" applyAlignment="1">
      <alignment horizontal="center" vertical="center"/>
    </xf>
    <xf numFmtId="2" fontId="0" fillId="0" borderId="0" xfId="0" applyNumberFormat="1" applyAlignment="1">
      <alignment horizontal="center" vertical="center"/>
    </xf>
    <xf numFmtId="2" fontId="0" fillId="0" borderId="25" xfId="0" applyNumberFormat="1" applyBorder="1" applyAlignment="1">
      <alignment horizontal="center" vertical="center"/>
    </xf>
    <xf numFmtId="2" fontId="0" fillId="0" borderId="2" xfId="0" applyNumberFormat="1" applyBorder="1" applyAlignment="1">
      <alignment horizontal="center" vertical="center"/>
    </xf>
    <xf numFmtId="2" fontId="0" fillId="0" borderId="30" xfId="0" applyNumberFormat="1" applyBorder="1" applyAlignment="1">
      <alignment horizontal="center" vertical="center"/>
    </xf>
    <xf numFmtId="0" fontId="34" fillId="0" borderId="0" xfId="0" applyFont="1"/>
    <xf numFmtId="0" fontId="21" fillId="0" borderId="0" xfId="1" applyAlignment="1" applyProtection="1"/>
    <xf numFmtId="14" fontId="0" fillId="0" borderId="0" xfId="0" applyNumberFormat="1"/>
    <xf numFmtId="20" fontId="0" fillId="0" borderId="0" xfId="0" applyNumberFormat="1"/>
    <xf numFmtId="0" fontId="35" fillId="0" borderId="0" xfId="0" applyFont="1"/>
    <xf numFmtId="2" fontId="16" fillId="0" borderId="0" xfId="0" applyNumberFormat="1" applyFont="1"/>
    <xf numFmtId="1" fontId="0" fillId="0" borderId="0" xfId="0" applyNumberFormat="1" applyAlignment="1">
      <alignment horizontal="center" vertical="center"/>
    </xf>
    <xf numFmtId="0" fontId="1" fillId="0" borderId="0" xfId="0" applyFont="1" applyAlignment="1">
      <alignment vertical="center"/>
    </xf>
    <xf numFmtId="0" fontId="3" fillId="0" borderId="0" xfId="0" applyFont="1" applyAlignment="1">
      <alignment horizontal="center"/>
    </xf>
    <xf numFmtId="0" fontId="0" fillId="0" borderId="0" xfId="0" applyAlignment="1">
      <alignment horizontal="center"/>
    </xf>
    <xf numFmtId="166" fontId="16" fillId="0" borderId="0" xfId="0" applyNumberFormat="1"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calcChain" Target="calcChain.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75" b="1" i="0" u="none" strike="noStrike" baseline="0">
                <a:solidFill>
                  <a:srgbClr val="000000"/>
                </a:solidFill>
                <a:latin typeface="Book Antiqua"/>
                <a:ea typeface="Book Antiqua"/>
                <a:cs typeface="Book Antiqua"/>
              </a:defRPr>
            </a:pPr>
            <a:r>
              <a:rPr lang="en-US"/>
              <a:t>USGS 04027000 BAD RIVER NEAR ODANAH, WI</a:t>
            </a:r>
          </a:p>
        </c:rich>
      </c:tx>
      <c:layout>
        <c:manualLayout>
          <c:xMode val="edge"/>
          <c:yMode val="edge"/>
          <c:x val="0.23175447065179844"/>
          <c:y val="1.0720054786443426E-2"/>
        </c:manualLayout>
      </c:layout>
      <c:overlay val="0"/>
      <c:spPr>
        <a:noFill/>
        <a:ln w="25400">
          <a:noFill/>
        </a:ln>
      </c:spPr>
    </c:title>
    <c:autoTitleDeleted val="0"/>
    <c:plotArea>
      <c:layout>
        <c:manualLayout>
          <c:layoutTarget val="inner"/>
          <c:xMode val="edge"/>
          <c:yMode val="edge"/>
          <c:x val="8.3245521601685996E-2"/>
          <c:y val="7.6399026763990283E-2"/>
          <c:w val="0.88408851422550061"/>
          <c:h val="0.81897810218978295"/>
        </c:manualLayout>
      </c:layout>
      <c:scatterChart>
        <c:scatterStyle val="lineMarker"/>
        <c:varyColors val="0"/>
        <c:ser>
          <c:idx val="0"/>
          <c:order val="0"/>
          <c:tx>
            <c:v>curve</c:v>
          </c:tx>
          <c:spPr>
            <a:ln w="12700">
              <a:solidFill>
                <a:srgbClr val="0000FF"/>
              </a:solidFill>
              <a:prstDash val="solid"/>
            </a:ln>
          </c:spPr>
          <c:marker>
            <c:symbol val="none"/>
          </c:marker>
          <c:xVal>
            <c:numRef>
              <c:f>curves!$B$5:$B$23</c:f>
              <c:numCache>
                <c:formatCode>0.000</c:formatCode>
                <c:ptCount val="19"/>
                <c:pt idx="0">
                  <c:v>1.9097676938321868</c:v>
                </c:pt>
                <c:pt idx="1">
                  <c:v>2.1218382609045174</c:v>
                </c:pt>
                <c:pt idx="2">
                  <c:v>2.4241706964511001</c:v>
                </c:pt>
                <c:pt idx="3">
                  <c:v>2.6736521259591592</c:v>
                </c:pt>
                <c:pt idx="4">
                  <c:v>2.9462510893681775</c:v>
                </c:pt>
                <c:pt idx="5">
                  <c:v>3.2493139287478305</c:v>
                </c:pt>
                <c:pt idx="6">
                  <c:v>3.3551463730485276</c:v>
                </c:pt>
                <c:pt idx="7">
                  <c:v>3.7184484344553992</c:v>
                </c:pt>
                <c:pt idx="8">
                  <c:v>4.1583787664270853</c:v>
                </c:pt>
                <c:pt idx="9">
                  <c:v>4.4755994872919587</c:v>
                </c:pt>
                <c:pt idx="10">
                  <c:v>4.7466528968641999</c:v>
                </c:pt>
                <c:pt idx="11">
                  <c:v>5</c:v>
                </c:pt>
                <c:pt idx="12">
                  <c:v>5.2533471031358001</c:v>
                </c:pt>
                <c:pt idx="13">
                  <c:v>5.5244005127080404</c:v>
                </c:pt>
                <c:pt idx="14">
                  <c:v>5.8416212335729147</c:v>
                </c:pt>
                <c:pt idx="15">
                  <c:v>6.2815515655446008</c:v>
                </c:pt>
                <c:pt idx="16">
                  <c:v>6.6448536269514715</c:v>
                </c:pt>
                <c:pt idx="17">
                  <c:v>7.0537489106318221</c:v>
                </c:pt>
                <c:pt idx="18">
                  <c:v>7.3263478740408408</c:v>
                </c:pt>
              </c:numCache>
            </c:numRef>
          </c:xVal>
          <c:yVal>
            <c:numRef>
              <c:f>curves!$D$5:$D$23</c:f>
              <c:numCache>
                <c:formatCode>0.000</c:formatCode>
                <c:ptCount val="19"/>
                <c:pt idx="0">
                  <c:v>4.5295233789833436</c:v>
                </c:pt>
                <c:pt idx="1">
                  <c:v>4.4823504063056543</c:v>
                </c:pt>
                <c:pt idx="2">
                  <c:v>4.4157557779976813</c:v>
                </c:pt>
                <c:pt idx="3">
                  <c:v>4.3613846117405055</c:v>
                </c:pt>
                <c:pt idx="4">
                  <c:v>4.3025699423620223</c:v>
                </c:pt>
                <c:pt idx="5">
                  <c:v>4.2379133285110102</c:v>
                </c:pt>
                <c:pt idx="6">
                  <c:v>4.2155149752222023</c:v>
                </c:pt>
                <c:pt idx="7">
                  <c:v>4.1393306767060771</c:v>
                </c:pt>
                <c:pt idx="8">
                  <c:v>4.0485366166029086</c:v>
                </c:pt>
                <c:pt idx="9">
                  <c:v>3.9840532564074205</c:v>
                </c:pt>
                <c:pt idx="10">
                  <c:v>3.9296057165661678</c:v>
                </c:pt>
                <c:pt idx="11">
                  <c:v>3.8792638779052373</c:v>
                </c:pt>
                <c:pt idx="12">
                  <c:v>3.8294216180731881</c:v>
                </c:pt>
                <c:pt idx="13">
                  <c:v>3.7766776206480546</c:v>
                </c:pt>
                <c:pt idx="14">
                  <c:v>3.7156990248288411</c:v>
                </c:pt>
                <c:pt idx="15">
                  <c:v>3.6324559524366795</c:v>
                </c:pt>
                <c:pt idx="16">
                  <c:v>3.5648673796486117</c:v>
                </c:pt>
                <c:pt idx="17">
                  <c:v>3.4900346529323838</c:v>
                </c:pt>
                <c:pt idx="18">
                  <c:v>3.4408697043006518</c:v>
                </c:pt>
              </c:numCache>
            </c:numRef>
          </c:yVal>
          <c:smooth val="0"/>
          <c:extLst>
            <c:ext xmlns:c16="http://schemas.microsoft.com/office/drawing/2014/chart" uri="{C3380CC4-5D6E-409C-BE32-E72D297353CC}">
              <c16:uniqueId val="{00000000-8389-42DA-8862-0D700869E5C7}"/>
            </c:ext>
          </c:extLst>
        </c:ser>
        <c:ser>
          <c:idx val="2"/>
          <c:order val="1"/>
          <c:tx>
            <c:v>log ticks</c:v>
          </c:tx>
          <c:spPr>
            <a:ln w="3175">
              <a:solidFill>
                <a:srgbClr val="000000"/>
              </a:solidFill>
              <a:prstDash val="solid"/>
            </a:ln>
          </c:spPr>
          <c:marker>
            <c:symbol val="none"/>
          </c:marker>
          <c:dLbls>
            <c:dLbl>
              <c:idx val="0"/>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1000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89-42DA-8862-0D700869E5C7}"/>
                </c:ext>
              </c:extLst>
            </c:dLbl>
            <c:dLbl>
              <c:idx val="1"/>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2000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89-42DA-8862-0D700869E5C7}"/>
                </c:ext>
              </c:extLst>
            </c:dLbl>
            <c:dLbl>
              <c:idx val="2"/>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3000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89-42DA-8862-0D700869E5C7}"/>
                </c:ext>
              </c:extLst>
            </c:dLbl>
            <c:dLbl>
              <c:idx val="3"/>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4000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8389-42DA-8862-0D700869E5C7}"/>
                </c:ext>
              </c:extLst>
            </c:dLbl>
            <c:dLbl>
              <c:idx val="4"/>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5000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389-42DA-8862-0D700869E5C7}"/>
                </c:ext>
              </c:extLst>
            </c:dLbl>
            <c:dLbl>
              <c:idx val="5"/>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6000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389-42DA-8862-0D700869E5C7}"/>
                </c:ext>
              </c:extLst>
            </c:dLbl>
            <c:dLbl>
              <c:idx val="6"/>
              <c:tx>
                <c:rich>
                  <a:bodyPr/>
                  <a:lstStyle/>
                  <a:p>
                    <a:pPr algn="l">
                      <a:defRPr sz="1000" b="0" i="0" u="none" strike="noStrike" baseline="0">
                        <a:solidFill>
                          <a:srgbClr val="000000"/>
                        </a:solidFill>
                        <a:latin typeface="Book Antiqua" panose="02040602050305030304" pitchFamily="18" charset="0"/>
                        <a:ea typeface="Book Antiqua"/>
                        <a:cs typeface="Book Antiqua"/>
                      </a:defRPr>
                    </a:pPr>
                    <a:endParaRPr lang="en-US" b="0" i="0">
                      <a:solidFill>
                        <a:srgbClr val="000000"/>
                      </a:solidFill>
                      <a:latin typeface="Book Antiqua" panose="02040602050305030304" pitchFamily="18" charset="0"/>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389-42DA-8862-0D700869E5C7}"/>
                </c:ext>
              </c:extLst>
            </c:dLbl>
            <c:dLbl>
              <c:idx val="7"/>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8000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389-42DA-8862-0D700869E5C7}"/>
                </c:ext>
              </c:extLst>
            </c:dLbl>
            <c:dLbl>
              <c:idx val="8"/>
              <c:tx>
                <c:rich>
                  <a:bodyPr/>
                  <a:lstStyle/>
                  <a:p>
                    <a:pPr>
                      <a:defRPr sz="1000" b="0" i="0" u="none" strike="noStrike" baseline="0">
                        <a:solidFill>
                          <a:srgbClr val="000000"/>
                        </a:solidFill>
                        <a:latin typeface="Book Antiqua" panose="02040602050305030304" pitchFamily="18" charset="0"/>
                        <a:ea typeface="Book Antiqua"/>
                        <a:cs typeface="Book Antiqua"/>
                      </a:defRPr>
                    </a:pPr>
                    <a:endParaRPr lang="en-US" b="0" i="0">
                      <a:solidFill>
                        <a:srgbClr val="000000"/>
                      </a:solidFill>
                      <a:latin typeface="Book Antiqua" panose="02040602050305030304" pitchFamily="18" charset="0"/>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389-42DA-8862-0D700869E5C7}"/>
                </c:ext>
              </c:extLst>
            </c:dLbl>
            <c:dLbl>
              <c:idx val="9"/>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10000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389-42DA-8862-0D700869E5C7}"/>
                </c:ext>
              </c:extLst>
            </c:dLbl>
            <c:dLbl>
              <c:idx val="10"/>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20000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389-42DA-8862-0D700869E5C7}"/>
                </c:ext>
              </c:extLst>
            </c:dLbl>
            <c:dLbl>
              <c:idx val="11"/>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30000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389-42DA-8862-0D700869E5C7}"/>
                </c:ext>
              </c:extLst>
            </c:dLbl>
            <c:dLbl>
              <c:idx val="12"/>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40000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389-42DA-8862-0D700869E5C7}"/>
                </c:ext>
              </c:extLst>
            </c:dLbl>
            <c:dLbl>
              <c:idx val="13"/>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50000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389-42DA-8862-0D700869E5C7}"/>
                </c:ext>
              </c:extLst>
            </c:dLbl>
            <c:dLbl>
              <c:idx val="14"/>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60000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389-42DA-8862-0D700869E5C7}"/>
                </c:ext>
              </c:extLst>
            </c:dLbl>
            <c:dLbl>
              <c:idx val="15"/>
              <c:tx>
                <c:rich>
                  <a:bodyPr/>
                  <a:lstStyle/>
                  <a:p>
                    <a:pPr algn="l">
                      <a:defRPr sz="1000" b="0" i="0" u="none" strike="noStrike" baseline="0">
                        <a:solidFill>
                          <a:srgbClr val="000000"/>
                        </a:solidFill>
                        <a:latin typeface="Book Antiqua" panose="02040602050305030304" pitchFamily="18" charset="0"/>
                        <a:ea typeface="Book Antiqua"/>
                        <a:cs typeface="Book Antiqua"/>
                      </a:defRPr>
                    </a:pPr>
                    <a:endParaRPr lang="en-US" b="0" i="0">
                      <a:solidFill>
                        <a:srgbClr val="000000"/>
                      </a:solidFill>
                      <a:latin typeface="Book Antiqua" panose="02040602050305030304" pitchFamily="18" charset="0"/>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389-42DA-8862-0D700869E5C7}"/>
                </c:ext>
              </c:extLst>
            </c:dLbl>
            <c:dLbl>
              <c:idx val="16"/>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80000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389-42DA-8862-0D700869E5C7}"/>
                </c:ext>
              </c:extLst>
            </c:dLbl>
            <c:dLbl>
              <c:idx val="17"/>
              <c:tx>
                <c:rich>
                  <a:bodyPr/>
                  <a:lstStyle/>
                  <a:p>
                    <a:pPr>
                      <a:defRPr sz="1000" b="0" i="0" u="none" strike="noStrike" baseline="0">
                        <a:solidFill>
                          <a:srgbClr val="000000"/>
                        </a:solidFill>
                        <a:latin typeface="Book Antiqua" panose="02040602050305030304" pitchFamily="18" charset="0"/>
                        <a:ea typeface="Book Antiqua"/>
                        <a:cs typeface="Book Antiqua"/>
                      </a:defRPr>
                    </a:pPr>
                    <a:endParaRPr lang="en-US" b="0" i="0">
                      <a:solidFill>
                        <a:srgbClr val="000000"/>
                      </a:solidFill>
                      <a:latin typeface="Book Antiqua" panose="02040602050305030304" pitchFamily="18" charset="0"/>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389-42DA-8862-0D700869E5C7}"/>
                </c:ext>
              </c:extLst>
            </c:dLbl>
            <c:dLbl>
              <c:idx val="18"/>
              <c:tx>
                <c:rich>
                  <a:bodyPr/>
                  <a:lstStyle/>
                  <a:p>
                    <a:pPr algn="l">
                      <a:defRPr sz="1025" b="0" i="0" u="none" strike="noStrike" baseline="0">
                        <a:solidFill>
                          <a:srgbClr val="000000"/>
                        </a:solidFill>
                        <a:latin typeface="Book Antiqua" panose="02040602050305030304" pitchFamily="18" charset="0"/>
                        <a:ea typeface="Book Antiqua"/>
                        <a:cs typeface="Book Antiqua"/>
                      </a:defRPr>
                    </a:pPr>
                    <a:r>
                      <a:rPr lang="en-US" b="0" i="0">
                        <a:solidFill>
                          <a:srgbClr val="000000"/>
                        </a:solidFill>
                        <a:latin typeface="Book Antiqua" panose="02040602050305030304" pitchFamily="18" charset="0"/>
                      </a:rPr>
                      <a:t>100000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389-42DA-8862-0D700869E5C7}"/>
                </c:ext>
              </c:extLst>
            </c:dLbl>
            <c:dLbl>
              <c:idx val="19"/>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20000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389-42DA-8862-0D700869E5C7}"/>
                </c:ext>
              </c:extLst>
            </c:dLbl>
            <c:dLbl>
              <c:idx val="20"/>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30000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389-42DA-8862-0D700869E5C7}"/>
                </c:ext>
              </c:extLst>
            </c:dLbl>
            <c:dLbl>
              <c:idx val="21"/>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40000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389-42DA-8862-0D700869E5C7}"/>
                </c:ext>
              </c:extLst>
            </c:dLbl>
            <c:dLbl>
              <c:idx val="22"/>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50000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389-42DA-8862-0D700869E5C7}"/>
                </c:ext>
              </c:extLst>
            </c:dLbl>
            <c:dLbl>
              <c:idx val="23"/>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60000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389-42DA-8862-0D700869E5C7}"/>
                </c:ext>
              </c:extLst>
            </c:dLbl>
            <c:dLbl>
              <c:idx val="24"/>
              <c:tx>
                <c:rich>
                  <a:bodyPr/>
                  <a:lstStyle/>
                  <a:p>
                    <a:pPr algn="l">
                      <a:defRPr sz="1000" b="0" i="0" u="none" strike="noStrike" baseline="0">
                        <a:solidFill>
                          <a:srgbClr val="000000"/>
                        </a:solidFill>
                        <a:latin typeface="Book Antiqua"/>
                        <a:ea typeface="Book Antiqua"/>
                        <a:cs typeface="Book Antiqua"/>
                      </a:defRPr>
                    </a:pPr>
                    <a:endParaRPr lang="en-US" b="0" i="0">
                      <a:solidFill>
                        <a:srgbClr val="000000"/>
                      </a:solidFill>
                      <a:latin typeface="Book Antiqua"/>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389-42DA-8862-0D700869E5C7}"/>
                </c:ext>
              </c:extLst>
            </c:dLbl>
            <c:dLbl>
              <c:idx val="25"/>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80000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8389-42DA-8862-0D700869E5C7}"/>
                </c:ext>
              </c:extLst>
            </c:dLbl>
            <c:dLbl>
              <c:idx val="26"/>
              <c:tx>
                <c:rich>
                  <a:bodyPr/>
                  <a:lstStyle/>
                  <a:p>
                    <a:pPr algn="l">
                      <a:defRPr sz="1000" b="0" i="0" u="none" strike="noStrike" baseline="0">
                        <a:solidFill>
                          <a:srgbClr val="000000"/>
                        </a:solidFill>
                        <a:latin typeface="Book Antiqua"/>
                        <a:ea typeface="Book Antiqua"/>
                        <a:cs typeface="Book Antiqua"/>
                      </a:defRPr>
                    </a:pPr>
                    <a:endParaRPr lang="en-US" b="0" i="0">
                      <a:solidFill>
                        <a:srgbClr val="000000"/>
                      </a:solidFill>
                      <a:latin typeface="Book Antiqua"/>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389-42DA-8862-0D700869E5C7}"/>
                </c:ext>
              </c:extLst>
            </c:dLbl>
            <c:dLbl>
              <c:idx val="27"/>
              <c:tx>
                <c:rich>
                  <a:bodyPr/>
                  <a:lstStyle/>
                  <a:p>
                    <a:pPr algn="l">
                      <a:defRPr sz="1025" b="0" i="0" u="none" strike="noStrike" baseline="0">
                        <a:solidFill>
                          <a:srgbClr val="000000"/>
                        </a:solidFill>
                        <a:latin typeface="Book Antiqua"/>
                        <a:ea typeface="Book Antiqua"/>
                        <a:cs typeface="Book Antiqua"/>
                      </a:defRPr>
                    </a:pPr>
                    <a:r>
                      <a:rPr lang="en-US" b="0" i="0">
                        <a:solidFill>
                          <a:srgbClr val="000000"/>
                        </a:solidFill>
                        <a:latin typeface="Book Antiqua"/>
                      </a:rPr>
                      <a:t>100000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8389-42DA-8862-0D700869E5C7}"/>
                </c:ext>
              </c:extLst>
            </c:dLbl>
            <c:dLbl>
              <c:idx val="28"/>
              <c:tx>
                <c:rich>
                  <a:bodyPr/>
                  <a:lstStyle/>
                  <a:p>
                    <a:pPr algn="l">
                      <a:defRPr sz="1025" b="0" i="0" u="none" strike="noStrike" baseline="0">
                        <a:solidFill>
                          <a:srgbClr val="000000"/>
                        </a:solidFill>
                        <a:latin typeface="Book Antiqua"/>
                        <a:ea typeface="Book Antiqua"/>
                        <a:cs typeface="Book Antiqua"/>
                      </a:defRPr>
                    </a:pPr>
                    <a:r>
                      <a:t>20000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8389-42DA-8862-0D700869E5C7}"/>
                </c:ext>
              </c:extLst>
            </c:dLbl>
            <c:dLbl>
              <c:idx val="29"/>
              <c:tx>
                <c:rich>
                  <a:bodyPr/>
                  <a:lstStyle/>
                  <a:p>
                    <a:pPr algn="l">
                      <a:defRPr sz="1025" b="0" i="0" u="none" strike="noStrike" baseline="0">
                        <a:solidFill>
                          <a:srgbClr val="000000"/>
                        </a:solidFill>
                        <a:latin typeface="Book Antiqua"/>
                        <a:ea typeface="Book Antiqua"/>
                        <a:cs typeface="Book Antiqua"/>
                      </a:defRPr>
                    </a:pPr>
                    <a:r>
                      <a:t>30000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8389-42DA-8862-0D700869E5C7}"/>
                </c:ext>
              </c:extLst>
            </c:dLbl>
            <c:dLbl>
              <c:idx val="30"/>
              <c:tx>
                <c:rich>
                  <a:bodyPr/>
                  <a:lstStyle/>
                  <a:p>
                    <a:pPr algn="l">
                      <a:defRPr sz="1025" b="0" i="0" u="none" strike="noStrike" baseline="0">
                        <a:solidFill>
                          <a:srgbClr val="000000"/>
                        </a:solidFill>
                        <a:latin typeface="Book Antiqua"/>
                        <a:ea typeface="Book Antiqua"/>
                        <a:cs typeface="Book Antiqua"/>
                      </a:defRPr>
                    </a:pPr>
                    <a:r>
                      <a:t>40000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8389-42DA-8862-0D700869E5C7}"/>
                </c:ext>
              </c:extLst>
            </c:dLbl>
            <c:dLbl>
              <c:idx val="31"/>
              <c:tx>
                <c:rich>
                  <a:bodyPr/>
                  <a:lstStyle/>
                  <a:p>
                    <a:pPr algn="l">
                      <a:defRPr sz="1025" b="0" i="0" u="none" strike="noStrike" baseline="0">
                        <a:solidFill>
                          <a:srgbClr val="000000"/>
                        </a:solidFill>
                        <a:latin typeface="Book Antiqua"/>
                        <a:ea typeface="Book Antiqua"/>
                        <a:cs typeface="Book Antiqua"/>
                      </a:defRPr>
                    </a:pPr>
                    <a:r>
                      <a:t>50000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8389-42DA-8862-0D700869E5C7}"/>
                </c:ext>
              </c:extLst>
            </c:dLbl>
            <c:dLbl>
              <c:idx val="32"/>
              <c:tx>
                <c:rich>
                  <a:bodyPr/>
                  <a:lstStyle/>
                  <a:p>
                    <a:pPr algn="l">
                      <a:defRPr sz="1025" b="0" i="0" u="none" strike="noStrike" baseline="0">
                        <a:solidFill>
                          <a:srgbClr val="000000"/>
                        </a:solidFill>
                        <a:latin typeface="Book Antiqua"/>
                        <a:ea typeface="Book Antiqua"/>
                        <a:cs typeface="Book Antiqua"/>
                      </a:defRPr>
                    </a:pPr>
                    <a:r>
                      <a:t>60000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8389-42DA-8862-0D700869E5C7}"/>
                </c:ext>
              </c:extLst>
            </c:dLbl>
            <c:dLbl>
              <c:idx val="33"/>
              <c:tx>
                <c:rich>
                  <a:bodyPr/>
                  <a:lstStyle/>
                  <a:p>
                    <a:pPr algn="l">
                      <a:defRPr sz="1000" b="0" i="0" u="none" strike="noStrike" baseline="0">
                        <a:solidFill>
                          <a:srgbClr val="000000"/>
                        </a:solidFill>
                        <a:latin typeface="Book Antiqua"/>
                        <a:ea typeface="Book Antiqua"/>
                        <a:cs typeface="Book Antiqua"/>
                      </a:defRPr>
                    </a:pPr>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8389-42DA-8862-0D700869E5C7}"/>
                </c:ext>
              </c:extLst>
            </c:dLbl>
            <c:dLbl>
              <c:idx val="34"/>
              <c:tx>
                <c:rich>
                  <a:bodyPr/>
                  <a:lstStyle/>
                  <a:p>
                    <a:pPr algn="l">
                      <a:defRPr sz="1025" b="0" i="0" u="none" strike="noStrike" baseline="0">
                        <a:solidFill>
                          <a:srgbClr val="000000"/>
                        </a:solidFill>
                        <a:latin typeface="Book Antiqua"/>
                        <a:ea typeface="Book Antiqua"/>
                        <a:cs typeface="Book Antiqua"/>
                      </a:defRPr>
                    </a:pPr>
                    <a:r>
                      <a:t>80000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8389-42DA-8862-0D700869E5C7}"/>
                </c:ext>
              </c:extLst>
            </c:dLbl>
            <c:dLbl>
              <c:idx val="35"/>
              <c:tx>
                <c:rich>
                  <a:bodyPr/>
                  <a:lstStyle/>
                  <a:p>
                    <a:pPr algn="l">
                      <a:defRPr sz="1000" b="0" i="0" u="none" strike="noStrike" baseline="0">
                        <a:solidFill>
                          <a:srgbClr val="000000"/>
                        </a:solidFill>
                        <a:latin typeface="Book Antiqua"/>
                        <a:ea typeface="Book Antiqua"/>
                        <a:cs typeface="Book Antiqua"/>
                      </a:defRPr>
                    </a:pPr>
                    <a:endParaRP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8389-42DA-8862-0D700869E5C7}"/>
                </c:ext>
              </c:extLst>
            </c:dLbl>
            <c:dLbl>
              <c:idx val="36"/>
              <c:tx>
                <c:rich>
                  <a:bodyPr/>
                  <a:lstStyle/>
                  <a:p>
                    <a:pPr algn="l">
                      <a:defRPr sz="1025" b="0" i="0" u="none" strike="noStrike" baseline="0">
                        <a:solidFill>
                          <a:srgbClr val="000000"/>
                        </a:solidFill>
                        <a:latin typeface="Book Antiqua"/>
                        <a:ea typeface="Book Antiqua"/>
                        <a:cs typeface="Book Antiqua"/>
                      </a:defRPr>
                    </a:pPr>
                    <a:r>
                      <a:t>100000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8389-42DA-8862-0D700869E5C7}"/>
                </c:ext>
              </c:extLst>
            </c:dLbl>
            <c:dLbl>
              <c:idx val="37"/>
              <c:tx>
                <c:rich>
                  <a:bodyPr/>
                  <a:lstStyle/>
                  <a:p>
                    <a:pPr algn="l">
                      <a:defRPr sz="1025" b="0" i="0" u="none" strike="noStrike" baseline="0">
                        <a:solidFill>
                          <a:srgbClr val="000000"/>
                        </a:solidFill>
                        <a:latin typeface="Book Antiqua"/>
                        <a:ea typeface="Book Antiqua"/>
                        <a:cs typeface="Book Antiqua"/>
                      </a:defRPr>
                    </a:pPr>
                    <a:r>
                      <a:t>2000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8389-42DA-8862-0D700869E5C7}"/>
                </c:ext>
              </c:extLst>
            </c:dLbl>
            <c:dLbl>
              <c:idx val="38"/>
              <c:tx>
                <c:rich>
                  <a:bodyPr/>
                  <a:lstStyle/>
                  <a:p>
                    <a:pPr algn="l">
                      <a:defRPr sz="1025" b="0" i="0" u="none" strike="noStrike" baseline="0">
                        <a:solidFill>
                          <a:srgbClr val="000000"/>
                        </a:solidFill>
                        <a:latin typeface="Book Antiqua"/>
                        <a:ea typeface="Book Antiqua"/>
                        <a:cs typeface="Book Antiqua"/>
                      </a:defRPr>
                    </a:pPr>
                    <a:r>
                      <a:t>3000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8389-42DA-8862-0D700869E5C7}"/>
                </c:ext>
              </c:extLst>
            </c:dLbl>
            <c:dLbl>
              <c:idx val="39"/>
              <c:tx>
                <c:rich>
                  <a:bodyPr/>
                  <a:lstStyle/>
                  <a:p>
                    <a:pPr algn="l">
                      <a:defRPr sz="1025" b="0" i="0" u="none" strike="noStrike" baseline="0">
                        <a:solidFill>
                          <a:srgbClr val="000000"/>
                        </a:solidFill>
                        <a:latin typeface="Book Antiqua"/>
                        <a:ea typeface="Book Antiqua"/>
                        <a:cs typeface="Book Antiqua"/>
                      </a:defRPr>
                    </a:pPr>
                    <a:r>
                      <a:t>4000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8389-42DA-8862-0D700869E5C7}"/>
                </c:ext>
              </c:extLst>
            </c:dLbl>
            <c:dLbl>
              <c:idx val="40"/>
              <c:tx>
                <c:rich>
                  <a:bodyPr/>
                  <a:lstStyle/>
                  <a:p>
                    <a:pPr algn="l">
                      <a:defRPr sz="1025" b="0" i="0" u="none" strike="noStrike" baseline="0">
                        <a:solidFill>
                          <a:srgbClr val="000000"/>
                        </a:solidFill>
                        <a:latin typeface="Book Antiqua"/>
                        <a:ea typeface="Book Antiqua"/>
                        <a:cs typeface="Book Antiqua"/>
                      </a:defRPr>
                    </a:pPr>
                    <a:r>
                      <a:t>5000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8389-42DA-8862-0D700869E5C7}"/>
                </c:ext>
              </c:extLst>
            </c:dLbl>
            <c:dLbl>
              <c:idx val="41"/>
              <c:tx>
                <c:rich>
                  <a:bodyPr/>
                  <a:lstStyle/>
                  <a:p>
                    <a:pPr algn="l">
                      <a:defRPr sz="1025" b="0" i="0" u="none" strike="noStrike" baseline="0">
                        <a:solidFill>
                          <a:srgbClr val="000000"/>
                        </a:solidFill>
                        <a:latin typeface="Book Antiqua"/>
                        <a:ea typeface="Book Antiqua"/>
                        <a:cs typeface="Book Antiqua"/>
                      </a:defRPr>
                    </a:pPr>
                    <a:r>
                      <a:t>6000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8389-42DA-8862-0D700869E5C7}"/>
                </c:ext>
              </c:extLst>
            </c:dLbl>
            <c:dLbl>
              <c:idx val="42"/>
              <c:tx>
                <c:rich>
                  <a:bodyPr/>
                  <a:lstStyle/>
                  <a:p>
                    <a:pPr algn="l">
                      <a:defRPr sz="1025" b="0" i="0" u="none" strike="noStrike" baseline="0">
                        <a:solidFill>
                          <a:srgbClr val="000000"/>
                        </a:solidFill>
                        <a:latin typeface="Book Antiqua"/>
                        <a:ea typeface="Book Antiqua"/>
                        <a:cs typeface="Book Antiqua"/>
                      </a:defRPr>
                    </a:pPr>
                    <a:r>
                      <a:t>7000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8389-42DA-8862-0D700869E5C7}"/>
                </c:ext>
              </c:extLst>
            </c:dLbl>
            <c:dLbl>
              <c:idx val="43"/>
              <c:tx>
                <c:rich>
                  <a:bodyPr/>
                  <a:lstStyle/>
                  <a:p>
                    <a:pPr algn="l">
                      <a:defRPr sz="1025" b="0" i="0" u="none" strike="noStrike" baseline="0">
                        <a:solidFill>
                          <a:srgbClr val="000000"/>
                        </a:solidFill>
                        <a:latin typeface="Book Antiqua"/>
                        <a:ea typeface="Book Antiqua"/>
                        <a:cs typeface="Book Antiqua"/>
                      </a:defRPr>
                    </a:pPr>
                    <a:r>
                      <a:t>8000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8389-42DA-8862-0D700869E5C7}"/>
                </c:ext>
              </c:extLst>
            </c:dLbl>
            <c:dLbl>
              <c:idx val="44"/>
              <c:tx>
                <c:rich>
                  <a:bodyPr/>
                  <a:lstStyle/>
                  <a:p>
                    <a:pPr algn="l">
                      <a:defRPr sz="1025" b="0" i="0" u="none" strike="noStrike" baseline="0">
                        <a:solidFill>
                          <a:srgbClr val="000000"/>
                        </a:solidFill>
                        <a:latin typeface="Book Antiqua"/>
                        <a:ea typeface="Book Antiqua"/>
                        <a:cs typeface="Book Antiqua"/>
                      </a:defRPr>
                    </a:pPr>
                    <a:r>
                      <a:t>9000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8389-42DA-8862-0D700869E5C7}"/>
                </c:ext>
              </c:extLst>
            </c:dLbl>
            <c:dLbl>
              <c:idx val="45"/>
              <c:tx>
                <c:rich>
                  <a:bodyPr/>
                  <a:lstStyle/>
                  <a:p>
                    <a:pPr algn="l">
                      <a:defRPr sz="1025" b="0" i="0" u="none" strike="noStrike" baseline="0">
                        <a:solidFill>
                          <a:srgbClr val="000000"/>
                        </a:solidFill>
                        <a:latin typeface="Book Antiqua"/>
                        <a:ea typeface="Book Antiqua"/>
                        <a:cs typeface="Book Antiqua"/>
                      </a:defRPr>
                    </a:pPr>
                    <a:r>
                      <a:t>10000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8389-42DA-8862-0D700869E5C7}"/>
                </c:ext>
              </c:extLst>
            </c:dLbl>
            <c:dLbl>
              <c:idx val="46"/>
              <c:tx>
                <c:rich>
                  <a:bodyPr/>
                  <a:lstStyle/>
                  <a:p>
                    <a:pPr algn="l">
                      <a:defRPr sz="1025" b="0" i="0" u="none" strike="noStrike" baseline="0">
                        <a:solidFill>
                          <a:srgbClr val="000000"/>
                        </a:solidFill>
                        <a:latin typeface="Book Antiqua"/>
                        <a:ea typeface="Book Antiqua"/>
                        <a:cs typeface="Book Antiqua"/>
                      </a:defRPr>
                    </a:pPr>
                    <a:r>
                      <a:t>20000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8389-42DA-8862-0D700869E5C7}"/>
                </c:ext>
              </c:extLst>
            </c:dLbl>
            <c:dLbl>
              <c:idx val="47"/>
              <c:tx>
                <c:rich>
                  <a:bodyPr/>
                  <a:lstStyle/>
                  <a:p>
                    <a:pPr algn="l">
                      <a:defRPr sz="1025" b="0" i="0" u="none" strike="noStrike" baseline="0">
                        <a:solidFill>
                          <a:srgbClr val="000000"/>
                        </a:solidFill>
                        <a:latin typeface="Book Antiqua"/>
                        <a:ea typeface="Book Antiqua"/>
                        <a:cs typeface="Book Antiqua"/>
                      </a:defRPr>
                    </a:pPr>
                    <a:r>
                      <a:t>30000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8389-42DA-8862-0D700869E5C7}"/>
                </c:ext>
              </c:extLst>
            </c:dLbl>
            <c:dLbl>
              <c:idx val="48"/>
              <c:tx>
                <c:rich>
                  <a:bodyPr/>
                  <a:lstStyle/>
                  <a:p>
                    <a:pPr algn="l">
                      <a:defRPr sz="1025" b="0" i="0" u="none" strike="noStrike" baseline="0">
                        <a:solidFill>
                          <a:srgbClr val="000000"/>
                        </a:solidFill>
                        <a:latin typeface="Book Antiqua"/>
                        <a:ea typeface="Book Antiqua"/>
                        <a:cs typeface="Book Antiqua"/>
                      </a:defRPr>
                    </a:pPr>
                    <a:r>
                      <a:t>40000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8389-42DA-8862-0D700869E5C7}"/>
                </c:ext>
              </c:extLst>
            </c:dLbl>
            <c:dLbl>
              <c:idx val="49"/>
              <c:tx>
                <c:rich>
                  <a:bodyPr/>
                  <a:lstStyle/>
                  <a:p>
                    <a:pPr algn="l">
                      <a:defRPr sz="1025" b="0" i="0" u="none" strike="noStrike" baseline="0">
                        <a:solidFill>
                          <a:srgbClr val="000000"/>
                        </a:solidFill>
                        <a:latin typeface="Book Antiqua"/>
                        <a:ea typeface="Book Antiqua"/>
                        <a:cs typeface="Book Antiqua"/>
                      </a:defRPr>
                    </a:pPr>
                    <a:r>
                      <a:t>50000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8389-42DA-8862-0D700869E5C7}"/>
                </c:ext>
              </c:extLst>
            </c:dLbl>
            <c:dLbl>
              <c:idx val="50"/>
              <c:tx>
                <c:rich>
                  <a:bodyPr/>
                  <a:lstStyle/>
                  <a:p>
                    <a:pPr algn="l">
                      <a:defRPr sz="1025" b="0" i="0" u="none" strike="noStrike" baseline="0">
                        <a:solidFill>
                          <a:srgbClr val="000000"/>
                        </a:solidFill>
                        <a:latin typeface="Book Antiqua"/>
                        <a:ea typeface="Book Antiqua"/>
                        <a:cs typeface="Book Antiqua"/>
                      </a:defRPr>
                    </a:pPr>
                    <a:r>
                      <a:t>60000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8389-42DA-8862-0D700869E5C7}"/>
                </c:ext>
              </c:extLst>
            </c:dLbl>
            <c:dLbl>
              <c:idx val="51"/>
              <c:tx>
                <c:rich>
                  <a:bodyPr/>
                  <a:lstStyle/>
                  <a:p>
                    <a:pPr algn="l">
                      <a:defRPr sz="1025" b="0" i="0" u="none" strike="noStrike" baseline="0">
                        <a:solidFill>
                          <a:srgbClr val="000000"/>
                        </a:solidFill>
                        <a:latin typeface="Book Antiqua"/>
                        <a:ea typeface="Book Antiqua"/>
                        <a:cs typeface="Book Antiqua"/>
                      </a:defRPr>
                    </a:pPr>
                    <a:r>
                      <a:t>70000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8389-42DA-8862-0D700869E5C7}"/>
                </c:ext>
              </c:extLst>
            </c:dLbl>
            <c:dLbl>
              <c:idx val="52"/>
              <c:tx>
                <c:rich>
                  <a:bodyPr/>
                  <a:lstStyle/>
                  <a:p>
                    <a:pPr algn="l">
                      <a:defRPr sz="1025" b="0" i="0" u="none" strike="noStrike" baseline="0">
                        <a:solidFill>
                          <a:srgbClr val="000000"/>
                        </a:solidFill>
                        <a:latin typeface="Book Antiqua"/>
                        <a:ea typeface="Book Antiqua"/>
                        <a:cs typeface="Book Antiqua"/>
                      </a:defRPr>
                    </a:pPr>
                    <a:r>
                      <a:t>80000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8389-42DA-8862-0D700869E5C7}"/>
                </c:ext>
              </c:extLst>
            </c:dLbl>
            <c:dLbl>
              <c:idx val="53"/>
              <c:tx>
                <c:rich>
                  <a:bodyPr/>
                  <a:lstStyle/>
                  <a:p>
                    <a:pPr algn="l">
                      <a:defRPr sz="1025" b="0" i="0" u="none" strike="noStrike" baseline="0">
                        <a:solidFill>
                          <a:srgbClr val="000000"/>
                        </a:solidFill>
                        <a:latin typeface="Book Antiqua"/>
                        <a:ea typeface="Book Antiqua"/>
                        <a:cs typeface="Book Antiqua"/>
                      </a:defRPr>
                    </a:pPr>
                    <a:r>
                      <a:t>90000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8389-42DA-8862-0D700869E5C7}"/>
                </c:ext>
              </c:extLst>
            </c:dLbl>
            <c:dLbl>
              <c:idx val="54"/>
              <c:tx>
                <c:rich>
                  <a:bodyPr/>
                  <a:lstStyle/>
                  <a:p>
                    <a:pPr algn="l">
                      <a:defRPr sz="1025" b="0" i="0" u="none" strike="noStrike" baseline="0">
                        <a:solidFill>
                          <a:srgbClr val="000000"/>
                        </a:solidFill>
                        <a:latin typeface="Book Antiqua"/>
                        <a:ea typeface="Book Antiqua"/>
                        <a:cs typeface="Book Antiqua"/>
                      </a:defRPr>
                    </a:pPr>
                    <a:r>
                      <a:t>100000</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8389-42DA-8862-0D700869E5C7}"/>
                </c:ext>
              </c:extLst>
            </c:dLbl>
            <c:spPr>
              <a:noFill/>
              <a:ln w="25400">
                <a:noFill/>
              </a:ln>
            </c:spPr>
            <c:txPr>
              <a:bodyPr/>
              <a:lstStyle/>
              <a:p>
                <a:pPr algn="l">
                  <a:defRPr sz="1075" b="0" i="0" u="none" strike="noStrike" baseline="0">
                    <a:solidFill>
                      <a:srgbClr val="000000"/>
                    </a:solidFill>
                    <a:latin typeface="Book Antiqua"/>
                    <a:ea typeface="Book Antiqua"/>
                    <a:cs typeface="Book Antiqua"/>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x"/>
            <c:errBarType val="minus"/>
            <c:errValType val="cust"/>
            <c:noEndCap val="0"/>
            <c:minus>
              <c:numRef>
                <c:f>scale!$B$42</c:f>
                <c:numCache>
                  <c:formatCode>General</c:formatCode>
                  <c:ptCount val="1"/>
                  <c:pt idx="0">
                    <c:v>8</c:v>
                  </c:pt>
                </c:numCache>
              </c:numRef>
            </c:minus>
            <c:spPr>
              <a:ln w="3175">
                <a:solidFill>
                  <a:srgbClr val="000000"/>
                </a:solidFill>
                <a:prstDash val="sysDash"/>
              </a:ln>
            </c:spPr>
          </c:errBars>
          <c:errBars>
            <c:errDir val="y"/>
            <c:errBarType val="both"/>
            <c:errValType val="cust"/>
            <c:noEndCap val="0"/>
            <c:plus>
              <c:numLit>
                <c:formatCode>General</c:formatCode>
                <c:ptCount val="1"/>
                <c:pt idx="0">
                  <c:v>0</c:v>
                </c:pt>
              </c:numLit>
            </c:plus>
            <c:minus>
              <c:numRef>
                <c:f>scale!$B$43</c:f>
                <c:numCache>
                  <c:formatCode>General</c:formatCode>
                  <c:ptCount val="1"/>
                  <c:pt idx="0">
                    <c:v>2</c:v>
                  </c:pt>
                </c:numCache>
              </c:numRef>
            </c:minus>
            <c:spPr>
              <a:ln w="3175">
                <a:solidFill>
                  <a:srgbClr val="000000"/>
                </a:solidFill>
                <a:prstDash val="solid"/>
              </a:ln>
            </c:spPr>
          </c:errBars>
          <c:xVal>
            <c:numRef>
              <c:f>scale!$G$60:$G$78</c:f>
              <c:numCache>
                <c:formatCode>0</c:formatCode>
                <c:ptCount val="1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numCache>
            </c:numRef>
          </c:xVal>
          <c:yVal>
            <c:numRef>
              <c:f>scale!$H$60:$H$78</c:f>
              <c:numCache>
                <c:formatCode>0.00</c:formatCode>
                <c:ptCount val="19"/>
                <c:pt idx="0">
                  <c:v>3</c:v>
                </c:pt>
                <c:pt idx="1">
                  <c:v>3.3010299956639808</c:v>
                </c:pt>
                <c:pt idx="2">
                  <c:v>3.4771212547196622</c:v>
                </c:pt>
                <c:pt idx="3">
                  <c:v>3.6020599913279621</c:v>
                </c:pt>
                <c:pt idx="4">
                  <c:v>3.6989700043360183</c:v>
                </c:pt>
                <c:pt idx="5">
                  <c:v>3.7781512503836434</c:v>
                </c:pt>
                <c:pt idx="6">
                  <c:v>3.8450980400142565</c:v>
                </c:pt>
                <c:pt idx="7">
                  <c:v>3.9030899869919433</c:v>
                </c:pt>
                <c:pt idx="8">
                  <c:v>3.9542425094393243</c:v>
                </c:pt>
                <c:pt idx="9">
                  <c:v>4</c:v>
                </c:pt>
                <c:pt idx="10" formatCode="0.000">
                  <c:v>4.3010299956639813</c:v>
                </c:pt>
                <c:pt idx="11" formatCode="0.000">
                  <c:v>4.4771212547196626</c:v>
                </c:pt>
                <c:pt idx="12" formatCode="0.000">
                  <c:v>4.6020599913279625</c:v>
                </c:pt>
                <c:pt idx="13" formatCode="0.000">
                  <c:v>4.6989700043360187</c:v>
                </c:pt>
                <c:pt idx="14" formatCode="0.000">
                  <c:v>4.7781512503836439</c:v>
                </c:pt>
                <c:pt idx="15" formatCode="0.000">
                  <c:v>4.8450980400142569</c:v>
                </c:pt>
                <c:pt idx="16" formatCode="0.000">
                  <c:v>4.9030899869919438</c:v>
                </c:pt>
                <c:pt idx="17" formatCode="0.000">
                  <c:v>4.9542425094393252</c:v>
                </c:pt>
                <c:pt idx="18" formatCode="0.000">
                  <c:v>5</c:v>
                </c:pt>
              </c:numCache>
            </c:numRef>
          </c:yVal>
          <c:smooth val="0"/>
          <c:extLst>
            <c:ext xmlns:c16="http://schemas.microsoft.com/office/drawing/2014/chart" uri="{C3380CC4-5D6E-409C-BE32-E72D297353CC}">
              <c16:uniqueId val="{00000038-8389-42DA-8862-0D700869E5C7}"/>
            </c:ext>
          </c:extLst>
        </c:ser>
        <c:ser>
          <c:idx val="1"/>
          <c:order val="2"/>
          <c:tx>
            <c:v>prob ticks</c:v>
          </c:tx>
          <c:spPr>
            <a:ln w="28575">
              <a:noFill/>
            </a:ln>
          </c:spPr>
          <c:marker>
            <c:symbol val="none"/>
          </c:marker>
          <c:dLbls>
            <c:dLbl>
              <c:idx val="0"/>
              <c:layout>
                <c:manualLayout>
                  <c:x val="-3.2165921304094097E-2"/>
                  <c:y val="0.83927980535279934"/>
                </c:manualLayout>
              </c:layout>
              <c:tx>
                <c:rich>
                  <a:bodyPr/>
                  <a:lstStyle/>
                  <a:p>
                    <a:r>
                      <a:rPr lang="en-US"/>
                      <a:t>99.99</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8389-42DA-8862-0D700869E5C7}"/>
                </c:ext>
              </c:extLst>
            </c:dLbl>
            <c:dLbl>
              <c:idx val="1"/>
              <c:layout>
                <c:manualLayout>
                  <c:x val="-6.753355514438461E-2"/>
                  <c:y val="0.88423365327509262"/>
                </c:manualLayout>
              </c:layout>
              <c:tx>
                <c:rich>
                  <a:bodyPr/>
                  <a:lstStyle/>
                  <a:p>
                    <a:pPr>
                      <a:defRPr sz="1050" b="0" i="0" u="none" strike="noStrike" baseline="0">
                        <a:solidFill>
                          <a:srgbClr val="FFFFFF"/>
                        </a:solidFill>
                        <a:latin typeface="Book Antiqua"/>
                        <a:ea typeface="Book Antiqua"/>
                        <a:cs typeface="Book Antiqua"/>
                      </a:defRPr>
                    </a:pPr>
                    <a:r>
                      <a:rPr lang="en-US"/>
                      <a:t>7.090</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8389-42DA-8862-0D700869E5C7}"/>
                </c:ext>
              </c:extLst>
            </c:dLbl>
            <c:dLbl>
              <c:idx val="2"/>
              <c:layout>
                <c:manualLayout>
                  <c:x val="-2.3052308134823563E-2"/>
                  <c:y val="0.83927980535279934"/>
                </c:manualLayout>
              </c:layout>
              <c:tx>
                <c:rich>
                  <a:bodyPr/>
                  <a:lstStyle/>
                  <a:p>
                    <a:r>
                      <a:rPr lang="en-US"/>
                      <a:t>99.8</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8389-42DA-8862-0D700869E5C7}"/>
                </c:ext>
              </c:extLst>
            </c:dLbl>
            <c:dLbl>
              <c:idx val="3"/>
              <c:layout>
                <c:manualLayout>
                  <c:x val="-1.8092590902427992E-2"/>
                  <c:y val="0.83927980535279934"/>
                </c:manualLayout>
              </c:layout>
              <c:tx>
                <c:rich>
                  <a:bodyPr/>
                  <a:lstStyle/>
                  <a:p>
                    <a:r>
                      <a:rPr lang="en-US"/>
                      <a:t>99</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8389-42DA-8862-0D700869E5C7}"/>
                </c:ext>
              </c:extLst>
            </c:dLbl>
            <c:dLbl>
              <c:idx val="4"/>
              <c:layout>
                <c:manualLayout>
                  <c:x val="-1.8399475618761631E-2"/>
                  <c:y val="0.83927980535279934"/>
                </c:manualLayout>
              </c:layout>
              <c:tx>
                <c:rich>
                  <a:bodyPr/>
                  <a:lstStyle/>
                  <a:p>
                    <a:r>
                      <a:rPr lang="en-US"/>
                      <a:t>98</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8389-42DA-8862-0D700869E5C7}"/>
                </c:ext>
              </c:extLst>
            </c:dLbl>
            <c:dLbl>
              <c:idx val="5"/>
              <c:layout>
                <c:manualLayout>
                  <c:x val="-1.8332434473088081E-2"/>
                  <c:y val="0.83927980535279934"/>
                </c:manualLayout>
              </c:layout>
              <c:tx>
                <c:rich>
                  <a:bodyPr/>
                  <a:lstStyle/>
                  <a:p>
                    <a:r>
                      <a:rPr lang="en-US"/>
                      <a:t>95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8389-42DA-8862-0D700869E5C7}"/>
                </c:ext>
              </c:extLst>
            </c:dLbl>
            <c:dLbl>
              <c:idx val="6"/>
              <c:layout>
                <c:manualLayout>
                  <c:x val="-1.9425559160215693E-2"/>
                  <c:y val="0.83927980535279934"/>
                </c:manualLayout>
              </c:layout>
              <c:tx>
                <c:rich>
                  <a:bodyPr/>
                  <a:lstStyle/>
                  <a:p>
                    <a:r>
                      <a:rPr lang="en-US"/>
                      <a:t>90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8389-42DA-8862-0D700869E5C7}"/>
                </c:ext>
              </c:extLst>
            </c:dLbl>
            <c:dLbl>
              <c:idx val="7"/>
              <c:layout>
                <c:manualLayout>
                  <c:x val="-1.9711424375430463E-2"/>
                  <c:y val="0.83927980535279934"/>
                </c:manualLayout>
              </c:layout>
              <c:tx>
                <c:rich>
                  <a:bodyPr/>
                  <a:lstStyle/>
                  <a:p>
                    <a:r>
                      <a:rPr lang="en-US"/>
                      <a:t>80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8389-42DA-8862-0D700869E5C7}"/>
                </c:ext>
              </c:extLst>
            </c:dLbl>
            <c:dLbl>
              <c:idx val="8"/>
              <c:layout>
                <c:manualLayout>
                  <c:x val="-1.9801918859194224E-2"/>
                  <c:y val="0.83927980535279934"/>
                </c:manualLayout>
              </c:layout>
              <c:tx>
                <c:rich>
                  <a:bodyPr/>
                  <a:lstStyle/>
                  <a:p>
                    <a:r>
                      <a:rPr lang="en-US"/>
                      <a:t>70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8389-42DA-8862-0D700869E5C7}"/>
                </c:ext>
              </c:extLst>
            </c:dLbl>
            <c:dLbl>
              <c:idx val="9"/>
              <c:layout>
                <c:manualLayout>
                  <c:x val="-1.8879937162754538E-2"/>
                  <c:y val="0.83927980535279934"/>
                </c:manualLayout>
              </c:layout>
              <c:tx>
                <c:rich>
                  <a:bodyPr/>
                  <a:lstStyle/>
                  <a:p>
                    <a:r>
                      <a:rPr lang="en-US"/>
                      <a:t>60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8389-42DA-8862-0D700869E5C7}"/>
                </c:ext>
              </c:extLst>
            </c:dLbl>
            <c:dLbl>
              <c:idx val="10"/>
              <c:layout>
                <c:manualLayout>
                  <c:x val="-1.911447054365838E-2"/>
                  <c:y val="0.83927980535279934"/>
                </c:manualLayout>
              </c:layout>
              <c:tx>
                <c:rich>
                  <a:bodyPr/>
                  <a:lstStyle/>
                  <a:p>
                    <a:r>
                      <a:rPr lang="en-US"/>
                      <a:t>50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8389-42DA-8862-0D700869E5C7}"/>
                </c:ext>
              </c:extLst>
            </c:dLbl>
            <c:dLbl>
              <c:idx val="11"/>
              <c:layout>
                <c:manualLayout>
                  <c:x val="-1.8295263144793968E-2"/>
                  <c:y val="0.83927980535279934"/>
                </c:manualLayout>
              </c:layout>
              <c:tx>
                <c:rich>
                  <a:bodyPr/>
                  <a:lstStyle/>
                  <a:p>
                    <a:r>
                      <a:rPr lang="en-US"/>
                      <a:t>40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8389-42DA-8862-0D700869E5C7}"/>
                </c:ext>
              </c:extLst>
            </c:dLbl>
            <c:dLbl>
              <c:idx val="12"/>
              <c:layout>
                <c:manualLayout>
                  <c:x val="-1.9480873636843987E-2"/>
                  <c:y val="0.83927980535279934"/>
                </c:manualLayout>
              </c:layout>
              <c:tx>
                <c:rich>
                  <a:bodyPr/>
                  <a:lstStyle/>
                  <a:p>
                    <a:r>
                      <a:rPr lang="en-US"/>
                      <a:t>30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8389-42DA-8862-0D700869E5C7}"/>
                </c:ext>
              </c:extLst>
            </c:dLbl>
            <c:dLbl>
              <c:idx val="13"/>
              <c:layout>
                <c:manualLayout>
                  <c:x val="-1.9571257491654483E-2"/>
                  <c:y val="0.83927980535279934"/>
                </c:manualLayout>
              </c:layout>
              <c:tx>
                <c:rich>
                  <a:bodyPr/>
                  <a:lstStyle/>
                  <a:p>
                    <a:r>
                      <a:rPr lang="en-US"/>
                      <a:t>20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8389-42DA-8862-0D700869E5C7}"/>
                </c:ext>
              </c:extLst>
            </c:dLbl>
            <c:dLbl>
              <c:idx val="14"/>
              <c:layout>
                <c:manualLayout>
                  <c:x val="-1.8803381927101053E-2"/>
                  <c:y val="0.83927980535279934"/>
                </c:manualLayout>
              </c:layout>
              <c:tx>
                <c:rich>
                  <a:bodyPr/>
                  <a:lstStyle/>
                  <a:p>
                    <a:r>
                      <a:rPr lang="en-US"/>
                      <a:t>10</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8389-42DA-8862-0D700869E5C7}"/>
                </c:ext>
              </c:extLst>
            </c:dLbl>
            <c:dLbl>
              <c:idx val="15"/>
              <c:layout>
                <c:manualLayout>
                  <c:x val="-1.3574061935619467E-2"/>
                  <c:y val="0.83927980535279934"/>
                </c:manualLayout>
              </c:layout>
              <c:tx>
                <c:rich>
                  <a:bodyPr/>
                  <a:lstStyle/>
                  <a:p>
                    <a:r>
                      <a:rPr lang="en-US"/>
                      <a:t>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8389-42DA-8862-0D700869E5C7}"/>
                </c:ext>
              </c:extLst>
            </c:dLbl>
            <c:dLbl>
              <c:idx val="16"/>
              <c:layout>
                <c:manualLayout>
                  <c:x val="-1.4560761569714201E-2"/>
                  <c:y val="0.83927980535279934"/>
                </c:manualLayout>
              </c:layout>
              <c:tx>
                <c:rich>
                  <a:bodyPr/>
                  <a:lstStyle/>
                  <a:p>
                    <a:r>
                      <a:rPr lang="en-US"/>
                      <a:t>2</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8389-42DA-8862-0D700869E5C7}"/>
                </c:ext>
              </c:extLst>
            </c:dLbl>
            <c:dLbl>
              <c:idx val="17"/>
              <c:layout>
                <c:manualLayout>
                  <c:x val="-1.3813905506279613E-2"/>
                  <c:y val="0.83927980535279934"/>
                </c:manualLayout>
              </c:layout>
              <c:tx>
                <c:rich>
                  <a:bodyPr/>
                  <a:lstStyle/>
                  <a:p>
                    <a:r>
                      <a:rPr lang="en-US"/>
                      <a:t>1</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8389-42DA-8862-0D700869E5C7}"/>
                </c:ext>
              </c:extLst>
            </c:dLbl>
            <c:dLbl>
              <c:idx val="18"/>
              <c:layout>
                <c:manualLayout>
                  <c:x val="-1.6771902458451938E-2"/>
                  <c:y val="0.83927980535279934"/>
                </c:manualLayout>
              </c:layout>
              <c:tx>
                <c:rich>
                  <a:bodyPr/>
                  <a:lstStyle/>
                  <a:p>
                    <a:r>
                      <a:rPr lang="en-US"/>
                      <a:t>.5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8389-42DA-8862-0D700869E5C7}"/>
                </c:ext>
              </c:extLst>
            </c:dLbl>
            <c:dLbl>
              <c:idx val="19"/>
              <c:layout>
                <c:manualLayout>
                  <c:x val="-1.7284114512029512E-2"/>
                  <c:y val="0.83927980535279934"/>
                </c:manualLayout>
              </c:layout>
              <c:tx>
                <c:rich>
                  <a:bodyPr/>
                  <a:lstStyle/>
                  <a:p>
                    <a:r>
                      <a:rPr lang="en-US"/>
                      <a:t>.2</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8389-42DA-8862-0D700869E5C7}"/>
                </c:ext>
              </c:extLst>
            </c:dLbl>
            <c:dLbl>
              <c:idx val="20"/>
              <c:layout>
                <c:manualLayout>
                  <c:x val="-1.7060090881685169E-2"/>
                  <c:y val="0.83927980535279934"/>
                </c:manualLayout>
              </c:layout>
              <c:tx>
                <c:rich>
                  <a:bodyPr/>
                  <a:lstStyle/>
                  <a:p>
                    <a:r>
                      <a:rPr lang="en-US"/>
                      <a:t>.1</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8389-42DA-8862-0D700869E5C7}"/>
                </c:ext>
              </c:extLst>
            </c:dLbl>
            <c:dLbl>
              <c:idx val="21"/>
              <c:layout>
                <c:manualLayout>
                  <c:x val="-1.9717508967859499E-2"/>
                  <c:y val="0.83927980535279934"/>
                </c:manualLayout>
              </c:layout>
              <c:tx>
                <c:rich>
                  <a:bodyPr/>
                  <a:lstStyle/>
                  <a:p>
                    <a:r>
                      <a:rPr lang="en-US"/>
                      <a:t>.05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8389-42DA-8862-0D700869E5C7}"/>
                </c:ext>
              </c:extLst>
            </c:dLbl>
            <c:dLbl>
              <c:idx val="22"/>
              <c:layout>
                <c:manualLayout>
                  <c:x val="-2.0815390699977069E-2"/>
                  <c:y val="0.83927980535279934"/>
                </c:manualLayout>
              </c:layout>
              <c:tx>
                <c:rich>
                  <a:bodyPr/>
                  <a:lstStyle/>
                  <a:p>
                    <a:r>
                      <a:rPr lang="en-US"/>
                      <a:t>.01</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8389-42DA-8862-0D700869E5C7}"/>
                </c:ext>
              </c:extLst>
            </c:dLbl>
            <c:spPr>
              <a:noFill/>
              <a:ln w="25400">
                <a:noFill/>
              </a:ln>
            </c:spPr>
            <c:txPr>
              <a:bodyPr/>
              <a:lstStyle/>
              <a:p>
                <a:pPr>
                  <a:defRPr sz="1075" b="0" i="0" u="none" strike="noStrike" baseline="0">
                    <a:solidFill>
                      <a:srgbClr val="000000"/>
                    </a:solidFill>
                    <a:latin typeface="Book Antiqua"/>
                    <a:ea typeface="Book Antiqua"/>
                    <a:cs typeface="Book Antiqua"/>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y"/>
            <c:errBarType val="minus"/>
            <c:errValType val="cust"/>
            <c:noEndCap val="0"/>
            <c:minus>
              <c:numRef>
                <c:f>scale!$B$43</c:f>
                <c:numCache>
                  <c:formatCode>General</c:formatCode>
                  <c:ptCount val="1"/>
                  <c:pt idx="0">
                    <c:v>2</c:v>
                  </c:pt>
                </c:numCache>
              </c:numRef>
            </c:minus>
            <c:spPr>
              <a:ln w="3175">
                <a:solidFill>
                  <a:srgbClr val="000000"/>
                </a:solidFill>
                <a:prstDash val="sysDash"/>
              </a:ln>
            </c:spPr>
          </c:errBars>
          <c:xVal>
            <c:numRef>
              <c:f>scale!$D$6:$D$28</c:f>
              <c:numCache>
                <c:formatCode>0.000</c:formatCode>
                <c:ptCount val="23"/>
                <c:pt idx="0">
                  <c:v>8.7190164854554286</c:v>
                </c:pt>
                <c:pt idx="1">
                  <c:v>8.0902323061678469</c:v>
                </c:pt>
                <c:pt idx="2">
                  <c:v>7.8781617390954821</c:v>
                </c:pt>
                <c:pt idx="3">
                  <c:v>7.3263478740408408</c:v>
                </c:pt>
                <c:pt idx="4">
                  <c:v>7.0537489106318221</c:v>
                </c:pt>
                <c:pt idx="5">
                  <c:v>6.6448536269514715</c:v>
                </c:pt>
                <c:pt idx="6">
                  <c:v>6.2815515655446008</c:v>
                </c:pt>
                <c:pt idx="7">
                  <c:v>5.8416212335729147</c:v>
                </c:pt>
                <c:pt idx="8">
                  <c:v>5.5244005127080404</c:v>
                </c:pt>
                <c:pt idx="9">
                  <c:v>5.2533471031358001</c:v>
                </c:pt>
                <c:pt idx="10">
                  <c:v>5</c:v>
                </c:pt>
                <c:pt idx="11">
                  <c:v>4.7466528968641999</c:v>
                </c:pt>
                <c:pt idx="12">
                  <c:v>4.4755994872919587</c:v>
                </c:pt>
                <c:pt idx="13">
                  <c:v>4.1583787664270853</c:v>
                </c:pt>
                <c:pt idx="14">
                  <c:v>3.7184484344553992</c:v>
                </c:pt>
                <c:pt idx="15">
                  <c:v>3.3551463730485276</c:v>
                </c:pt>
                <c:pt idx="16">
                  <c:v>2.9462510893681775</c:v>
                </c:pt>
                <c:pt idx="17">
                  <c:v>2.6736521259591592</c:v>
                </c:pt>
                <c:pt idx="18">
                  <c:v>2.4241706964511001</c:v>
                </c:pt>
                <c:pt idx="19">
                  <c:v>2.1218382609045174</c:v>
                </c:pt>
                <c:pt idx="20">
                  <c:v>1.9097676938321868</c:v>
                </c:pt>
                <c:pt idx="21">
                  <c:v>1.7094732685081055</c:v>
                </c:pt>
                <c:pt idx="22">
                  <c:v>1.28098351454432</c:v>
                </c:pt>
              </c:numCache>
            </c:numRef>
          </c:xVal>
          <c:yVal>
            <c:numRef>
              <c:f>scale!$C$6:$C$28</c:f>
              <c:numCache>
                <c:formatCode>General</c:formatCode>
                <c:ptCount val="23"/>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numCache>
            </c:numRef>
          </c:yVal>
          <c:smooth val="0"/>
          <c:extLst>
            <c:ext xmlns:c16="http://schemas.microsoft.com/office/drawing/2014/chart" uri="{C3380CC4-5D6E-409C-BE32-E72D297353CC}">
              <c16:uniqueId val="{00000050-8389-42DA-8862-0D700869E5C7}"/>
            </c:ext>
          </c:extLst>
        </c:ser>
        <c:ser>
          <c:idx val="3"/>
          <c:order val="3"/>
          <c:tx>
            <c:v>points</c:v>
          </c:tx>
          <c:spPr>
            <a:ln w="28575">
              <a:noFill/>
            </a:ln>
          </c:spPr>
          <c:marker>
            <c:symbol val="circle"/>
            <c:size val="4"/>
            <c:spPr>
              <a:noFill/>
              <a:ln>
                <a:solidFill>
                  <a:srgbClr val="000000"/>
                </a:solidFill>
                <a:prstDash val="solid"/>
              </a:ln>
            </c:spPr>
          </c:marker>
          <c:xVal>
            <c:numRef>
              <c:f>points!$E$3:$E$82</c:f>
              <c:numCache>
                <c:formatCode>0.000</c:formatCode>
                <c:ptCount val="80"/>
                <c:pt idx="0">
                  <c:v>2.753802464359183</c:v>
                </c:pt>
                <c:pt idx="1">
                  <c:v>3.0347275810282226</c:v>
                </c:pt>
                <c:pt idx="2">
                  <c:v>3.2138444387389229</c:v>
                </c:pt>
                <c:pt idx="3">
                  <c:v>3.3491315145262632</c:v>
                </c:pt>
                <c:pt idx="4">
                  <c:v>3.4595749946995262</c:v>
                </c:pt>
                <c:pt idx="5">
                  <c:v>3.5538964070818251</c:v>
                </c:pt>
                <c:pt idx="6">
                  <c:v>3.6368635344503746</c:v>
                </c:pt>
                <c:pt idx="7">
                  <c:v>3.7113818322839363</c:v>
                </c:pt>
                <c:pt idx="8">
                  <c:v>3.7793596511526499</c:v>
                </c:pt>
                <c:pt idx="9">
                  <c:v>3.8421213963549761</c:v>
                </c:pt>
                <c:pt idx="10">
                  <c:v>3.9006259347284447</c:v>
                </c:pt>
                <c:pt idx="11">
                  <c:v>3.955591205127404</c:v>
                </c:pt>
                <c:pt idx="12">
                  <c:v>4.00756967948079</c:v>
                </c:pt>
                <c:pt idx="13">
                  <c:v>4.0569963038198935</c:v>
                </c:pt>
                <c:pt idx="14">
                  <c:v>4.1042201811164105</c:v>
                </c:pt>
                <c:pt idx="15">
                  <c:v>4.149526213642531</c:v>
                </c:pt>
                <c:pt idx="16">
                  <c:v>4.1931503089380211</c:v>
                </c:pt>
                <c:pt idx="17">
                  <c:v>4.2352903262136126</c:v>
                </c:pt>
                <c:pt idx="18">
                  <c:v>4.2761141251473562</c:v>
                </c:pt>
                <c:pt idx="19">
                  <c:v>4.3157655956483119</c:v>
                </c:pt>
                <c:pt idx="20">
                  <c:v>4.3543692507240177</c:v>
                </c:pt>
                <c:pt idx="21">
                  <c:v>4.3920337774103606</c:v>
                </c:pt>
                <c:pt idx="22">
                  <c:v>4.4288548194404935</c:v>
                </c:pt>
                <c:pt idx="23">
                  <c:v>4.4649171849136779</c:v>
                </c:pt>
                <c:pt idx="24">
                  <c:v>4.5002966177922161</c:v>
                </c:pt>
                <c:pt idx="25">
                  <c:v>4.5350612345169194</c:v>
                </c:pt>
                <c:pt idx="26">
                  <c:v>4.5692727007045422</c:v>
                </c:pt>
                <c:pt idx="27">
                  <c:v>4.6029872041412183</c:v>
                </c:pt>
                <c:pt idx="28">
                  <c:v>4.6362562667457405</c:v>
                </c:pt>
                <c:pt idx="29">
                  <c:v>4.6691274282735806</c:v>
                </c:pt>
                <c:pt idx="30">
                  <c:v>4.7016448272061186</c:v>
                </c:pt>
                <c:pt idx="31">
                  <c:v>4.7338496987931258</c:v>
                </c:pt>
                <c:pt idx="32">
                  <c:v>4.7657808060853801</c:v>
                </c:pt>
                <c:pt idx="33">
                  <c:v>4.7974748166535832</c:v>
                </c:pt>
                <c:pt idx="34">
                  <c:v>4.8289666352868892</c:v>
                </c:pt>
                <c:pt idx="35">
                  <c:v>4.8602897011181376</c:v>
                </c:pt>
                <c:pt idx="36">
                  <c:v>4.8914762562017309</c:v>
                </c:pt>
                <c:pt idx="37">
                  <c:v>4.9225575914784709</c:v>
                </c:pt>
                <c:pt idx="38">
                  <c:v>4.9535642752294731</c:v>
                </c:pt>
                <c:pt idx="39">
                  <c:v>4.9845263684975407</c:v>
                </c:pt>
                <c:pt idx="40">
                  <c:v>5.0154736315024593</c:v>
                </c:pt>
                <c:pt idx="41">
                  <c:v>5.0464357247705269</c:v>
                </c:pt>
                <c:pt idx="42">
                  <c:v>5.0774424085215291</c:v>
                </c:pt>
                <c:pt idx="43">
                  <c:v>5.1085237437982691</c:v>
                </c:pt>
                <c:pt idx="44">
                  <c:v>5.1397102988818624</c:v>
                </c:pt>
                <c:pt idx="45">
                  <c:v>5.1710333647131108</c:v>
                </c:pt>
                <c:pt idx="46">
                  <c:v>5.2025251833464168</c:v>
                </c:pt>
                <c:pt idx="47">
                  <c:v>5.2342191939146199</c:v>
                </c:pt>
                <c:pt idx="48">
                  <c:v>5.2661503012068742</c:v>
                </c:pt>
                <c:pt idx="49">
                  <c:v>5.2983551727938805</c:v>
                </c:pt>
                <c:pt idx="50">
                  <c:v>5.3308725717264194</c:v>
                </c:pt>
                <c:pt idx="51">
                  <c:v>5.3637437332542595</c:v>
                </c:pt>
                <c:pt idx="52">
                  <c:v>5.3970127958587817</c:v>
                </c:pt>
                <c:pt idx="53">
                  <c:v>5.4307272992954578</c:v>
                </c:pt>
                <c:pt idx="54">
                  <c:v>5.4649387654830806</c:v>
                </c:pt>
                <c:pt idx="55">
                  <c:v>5.4997033822077839</c:v>
                </c:pt>
                <c:pt idx="56">
                  <c:v>5.5350828150863221</c:v>
                </c:pt>
                <c:pt idx="57">
                  <c:v>5.5711451805595065</c:v>
                </c:pt>
                <c:pt idx="58">
                  <c:v>5.6079662225896394</c:v>
                </c:pt>
                <c:pt idx="59">
                  <c:v>5.6456307492759823</c:v>
                </c:pt>
                <c:pt idx="60">
                  <c:v>5.6842344043516881</c:v>
                </c:pt>
                <c:pt idx="61">
                  <c:v>5.7238858748526429</c:v>
                </c:pt>
                <c:pt idx="62">
                  <c:v>5.7647096737863874</c:v>
                </c:pt>
                <c:pt idx="63">
                  <c:v>5.8068496910619789</c:v>
                </c:pt>
                <c:pt idx="64">
                  <c:v>5.850473786357469</c:v>
                </c:pt>
                <c:pt idx="65">
                  <c:v>5.8957798188835895</c:v>
                </c:pt>
                <c:pt idx="66">
                  <c:v>5.9430036961801065</c:v>
                </c:pt>
                <c:pt idx="67">
                  <c:v>5.9924303205192091</c:v>
                </c:pt>
                <c:pt idx="68">
                  <c:v>6.044408794872596</c:v>
                </c:pt>
                <c:pt idx="69">
                  <c:v>6.0993740652715553</c:v>
                </c:pt>
                <c:pt idx="70">
                  <c:v>6.1578786036450239</c:v>
                </c:pt>
                <c:pt idx="71">
                  <c:v>6.2206403488473505</c:v>
                </c:pt>
                <c:pt idx="72">
                  <c:v>6.2886181677160637</c:v>
                </c:pt>
                <c:pt idx="73">
                  <c:v>6.3631364655496245</c:v>
                </c:pt>
                <c:pt idx="74">
                  <c:v>6.4461035929181758</c:v>
                </c:pt>
                <c:pt idx="75">
                  <c:v>6.5404250053004738</c:v>
                </c:pt>
                <c:pt idx="76">
                  <c:v>6.6508684854737368</c:v>
                </c:pt>
                <c:pt idx="77">
                  <c:v>6.7861555612610767</c:v>
                </c:pt>
                <c:pt idx="78">
                  <c:v>6.965272418971777</c:v>
                </c:pt>
                <c:pt idx="79">
                  <c:v>7.2461975356408157</c:v>
                </c:pt>
              </c:numCache>
            </c:numRef>
          </c:xVal>
          <c:yVal>
            <c:numRef>
              <c:f>points!$C$3:$C$82</c:f>
              <c:numCache>
                <c:formatCode>0.000</c:formatCode>
                <c:ptCount val="80"/>
                <c:pt idx="0">
                  <c:v>4.4424797690644482</c:v>
                </c:pt>
                <c:pt idx="1">
                  <c:v>4.3138672203691533</c:v>
                </c:pt>
                <c:pt idx="2">
                  <c:v>4.3031960574204886</c:v>
                </c:pt>
                <c:pt idx="3">
                  <c:v>4.2174839442139058</c:v>
                </c:pt>
                <c:pt idx="4">
                  <c:v>4.1673173347481756</c:v>
                </c:pt>
                <c:pt idx="5">
                  <c:v>4.1643528557844371</c:v>
                </c:pt>
                <c:pt idx="6">
                  <c:v>4.1553360374650614</c:v>
                </c:pt>
                <c:pt idx="7">
                  <c:v>4.139879086401236</c:v>
                </c:pt>
                <c:pt idx="8">
                  <c:v>4.139879086401236</c:v>
                </c:pt>
                <c:pt idx="9">
                  <c:v>4.1139433523068361</c:v>
                </c:pt>
                <c:pt idx="10">
                  <c:v>4.1072099696478679</c:v>
                </c:pt>
                <c:pt idx="11">
                  <c:v>4.0934216851622347</c:v>
                </c:pt>
                <c:pt idx="12">
                  <c:v>4.0863598306747475</c:v>
                </c:pt>
                <c:pt idx="13">
                  <c:v>4.0863598306747475</c:v>
                </c:pt>
                <c:pt idx="14">
                  <c:v>4.0681858617461613</c:v>
                </c:pt>
                <c:pt idx="15">
                  <c:v>4.0606978403536109</c:v>
                </c:pt>
                <c:pt idx="16">
                  <c:v>4.0606978403536109</c:v>
                </c:pt>
                <c:pt idx="17">
                  <c:v>4.049218022670181</c:v>
                </c:pt>
                <c:pt idx="18">
                  <c:v>4.0413926851582245</c:v>
                </c:pt>
                <c:pt idx="19">
                  <c:v>4.0293837776852088</c:v>
                </c:pt>
                <c:pt idx="20">
                  <c:v>4.0293837776852088</c:v>
                </c:pt>
                <c:pt idx="21">
                  <c:v>4.0043213737826422</c:v>
                </c:pt>
                <c:pt idx="22">
                  <c:v>4.0043213737826422</c:v>
                </c:pt>
                <c:pt idx="23">
                  <c:v>3.9960736544852749</c:v>
                </c:pt>
                <c:pt idx="24">
                  <c:v>3.9849771264154934</c:v>
                </c:pt>
                <c:pt idx="25">
                  <c:v>3.9661417327390325</c:v>
                </c:pt>
                <c:pt idx="26">
                  <c:v>3.933993163831242</c:v>
                </c:pt>
                <c:pt idx="27">
                  <c:v>3.9283958522567137</c:v>
                </c:pt>
                <c:pt idx="28">
                  <c:v>3.9159272116971153</c:v>
                </c:pt>
                <c:pt idx="29">
                  <c:v>3.915399835212269</c:v>
                </c:pt>
                <c:pt idx="30">
                  <c:v>3.9132839017604177</c:v>
                </c:pt>
                <c:pt idx="31">
                  <c:v>3.9127533036713231</c:v>
                </c:pt>
                <c:pt idx="32">
                  <c:v>3.904174368284163</c:v>
                </c:pt>
                <c:pt idx="33">
                  <c:v>3.9036325160842371</c:v>
                </c:pt>
                <c:pt idx="34">
                  <c:v>3.9030899869919433</c:v>
                </c:pt>
                <c:pt idx="35">
                  <c:v>3.8836614351536172</c:v>
                </c:pt>
                <c:pt idx="36">
                  <c:v>3.8836614351536172</c:v>
                </c:pt>
                <c:pt idx="37">
                  <c:v>3.8796692056320534</c:v>
                </c:pt>
                <c:pt idx="38">
                  <c:v>3.868056361823041</c:v>
                </c:pt>
                <c:pt idx="39">
                  <c:v>3.8645110810583914</c:v>
                </c:pt>
                <c:pt idx="40">
                  <c:v>3.8567288903828825</c:v>
                </c:pt>
                <c:pt idx="41">
                  <c:v>3.8555191556678001</c:v>
                </c:pt>
                <c:pt idx="42">
                  <c:v>3.8543060418010802</c:v>
                </c:pt>
                <c:pt idx="43">
                  <c:v>3.8518696007297661</c:v>
                </c:pt>
                <c:pt idx="44">
                  <c:v>3.8407332346118066</c:v>
                </c:pt>
                <c:pt idx="45">
                  <c:v>3.8331471119127847</c:v>
                </c:pt>
                <c:pt idx="46">
                  <c:v>3.8305886686851442</c:v>
                </c:pt>
                <c:pt idx="47">
                  <c:v>3.8247764624755458</c:v>
                </c:pt>
                <c:pt idx="48">
                  <c:v>3.8241258339165487</c:v>
                </c:pt>
                <c:pt idx="49">
                  <c:v>3.8162412999917827</c:v>
                </c:pt>
                <c:pt idx="50">
                  <c:v>3.8162412999917827</c:v>
                </c:pt>
                <c:pt idx="51">
                  <c:v>3.8142475957319202</c:v>
                </c:pt>
                <c:pt idx="52">
                  <c:v>3.8115750058705933</c:v>
                </c:pt>
                <c:pt idx="53">
                  <c:v>3.8068580295188172</c:v>
                </c:pt>
                <c:pt idx="54">
                  <c:v>3.8034571156484134</c:v>
                </c:pt>
                <c:pt idx="55">
                  <c:v>3.8027737252919755</c:v>
                </c:pt>
                <c:pt idx="56">
                  <c:v>3.7965743332104291</c:v>
                </c:pt>
                <c:pt idx="57">
                  <c:v>3.7902851640332416</c:v>
                </c:pt>
                <c:pt idx="58">
                  <c:v>3.7730546933642621</c:v>
                </c:pt>
                <c:pt idx="59">
                  <c:v>3.768638101247614</c:v>
                </c:pt>
                <c:pt idx="60">
                  <c:v>3.7634279935629364</c:v>
                </c:pt>
                <c:pt idx="61">
                  <c:v>3.7466341989375782</c:v>
                </c:pt>
                <c:pt idx="62">
                  <c:v>3.7435097647284294</c:v>
                </c:pt>
                <c:pt idx="63">
                  <c:v>3.7403626894942432</c:v>
                </c:pt>
                <c:pt idx="64">
                  <c:v>3.7283537820212285</c:v>
                </c:pt>
                <c:pt idx="65">
                  <c:v>3.7143297597452332</c:v>
                </c:pt>
                <c:pt idx="66">
                  <c:v>3.7067177823367587</c:v>
                </c:pt>
                <c:pt idx="67">
                  <c:v>3.6998377258672455</c:v>
                </c:pt>
                <c:pt idx="68">
                  <c:v>3.6963563887333319</c:v>
                </c:pt>
                <c:pt idx="69">
                  <c:v>3.6848453616444119</c:v>
                </c:pt>
                <c:pt idx="70">
                  <c:v>3.6776069527204931</c:v>
                </c:pt>
                <c:pt idx="71">
                  <c:v>3.6085260335771938</c:v>
                </c:pt>
                <c:pt idx="72">
                  <c:v>3.6085260335771938</c:v>
                </c:pt>
                <c:pt idx="73">
                  <c:v>3.6042260530844694</c:v>
                </c:pt>
                <c:pt idx="74">
                  <c:v>3.6009728956867479</c:v>
                </c:pt>
                <c:pt idx="75">
                  <c:v>3.5910646070264987</c:v>
                </c:pt>
                <c:pt idx="76">
                  <c:v>3.5453071164658239</c:v>
                </c:pt>
                <c:pt idx="77">
                  <c:v>3.5415792439465803</c:v>
                </c:pt>
                <c:pt idx="78">
                  <c:v>3.4771212547196617</c:v>
                </c:pt>
                <c:pt idx="79">
                  <c:v>3.3765769570565114</c:v>
                </c:pt>
              </c:numCache>
            </c:numRef>
          </c:yVal>
          <c:smooth val="0"/>
          <c:extLst>
            <c:ext xmlns:c16="http://schemas.microsoft.com/office/drawing/2014/chart" uri="{C3380CC4-5D6E-409C-BE32-E72D297353CC}">
              <c16:uniqueId val="{00000051-8389-42DA-8862-0D700869E5C7}"/>
            </c:ext>
          </c:extLst>
        </c:ser>
        <c:ser>
          <c:idx val="4"/>
          <c:order val="4"/>
          <c:tx>
            <c:v>5% limit</c:v>
          </c:tx>
          <c:spPr>
            <a:ln w="3175">
              <a:solidFill>
                <a:srgbClr val="FF0000"/>
              </a:solidFill>
              <a:prstDash val="sysDash"/>
            </a:ln>
          </c:spPr>
          <c:marker>
            <c:symbol val="none"/>
          </c:marker>
          <c:xVal>
            <c:numRef>
              <c:f>curves!$B$5:$B$23</c:f>
              <c:numCache>
                <c:formatCode>0.000</c:formatCode>
                <c:ptCount val="19"/>
                <c:pt idx="0">
                  <c:v>1.9097676938321868</c:v>
                </c:pt>
                <c:pt idx="1">
                  <c:v>2.1218382609045174</c:v>
                </c:pt>
                <c:pt idx="2">
                  <c:v>2.4241706964511001</c:v>
                </c:pt>
                <c:pt idx="3">
                  <c:v>2.6736521259591592</c:v>
                </c:pt>
                <c:pt idx="4">
                  <c:v>2.9462510893681775</c:v>
                </c:pt>
                <c:pt idx="5">
                  <c:v>3.2493139287478305</c:v>
                </c:pt>
                <c:pt idx="6">
                  <c:v>3.3551463730485276</c:v>
                </c:pt>
                <c:pt idx="7">
                  <c:v>3.7184484344553992</c:v>
                </c:pt>
                <c:pt idx="8">
                  <c:v>4.1583787664270853</c:v>
                </c:pt>
                <c:pt idx="9">
                  <c:v>4.4755994872919587</c:v>
                </c:pt>
                <c:pt idx="10">
                  <c:v>4.7466528968641999</c:v>
                </c:pt>
                <c:pt idx="11">
                  <c:v>5</c:v>
                </c:pt>
                <c:pt idx="12">
                  <c:v>5.2533471031358001</c:v>
                </c:pt>
                <c:pt idx="13">
                  <c:v>5.5244005127080404</c:v>
                </c:pt>
                <c:pt idx="14">
                  <c:v>5.8416212335729147</c:v>
                </c:pt>
                <c:pt idx="15">
                  <c:v>6.2815515655446008</c:v>
                </c:pt>
                <c:pt idx="16">
                  <c:v>6.6448536269514715</c:v>
                </c:pt>
                <c:pt idx="17">
                  <c:v>7.0537489106318221</c:v>
                </c:pt>
                <c:pt idx="18">
                  <c:v>7.3263478740408408</c:v>
                </c:pt>
              </c:numCache>
            </c:numRef>
          </c:xVal>
          <c:yVal>
            <c:numRef>
              <c:f>curves!$K$5:$K$23</c:f>
              <c:numCache>
                <c:formatCode>0.000</c:formatCode>
                <c:ptCount val="19"/>
                <c:pt idx="0">
                  <c:v>4.634321487566849</c:v>
                </c:pt>
                <c:pt idx="1">
                  <c:v>4.5805845567769339</c:v>
                </c:pt>
                <c:pt idx="2">
                  <c:v>4.5048616540255102</c:v>
                </c:pt>
                <c:pt idx="3">
                  <c:v>4.4431904551872154</c:v>
                </c:pt>
                <c:pt idx="4">
                  <c:v>4.376682421412653</c:v>
                </c:pt>
                <c:pt idx="5">
                  <c:v>4.3038941741956034</c:v>
                </c:pt>
                <c:pt idx="6">
                  <c:v>4.2787805004452588</c:v>
                </c:pt>
                <c:pt idx="7">
                  <c:v>4.1938842076238094</c:v>
                </c:pt>
                <c:pt idx="8">
                  <c:v>4.0942092890502648</c:v>
                </c:pt>
                <c:pt idx="9">
                  <c:v>4.024889080220488</c:v>
                </c:pt>
                <c:pt idx="10">
                  <c:v>3.967632756479563</c:v>
                </c:pt>
                <c:pt idx="11">
                  <c:v>3.9159035879999111</c:v>
                </c:pt>
                <c:pt idx="12">
                  <c:v>3.8658833001152715</c:v>
                </c:pt>
                <c:pt idx="13">
                  <c:v>3.8141752763961283</c:v>
                </c:pt>
                <c:pt idx="14">
                  <c:v>3.7557352003062237</c:v>
                </c:pt>
                <c:pt idx="15">
                  <c:v>3.6777107828372153</c:v>
                </c:pt>
                <c:pt idx="16">
                  <c:v>3.6153968496927944</c:v>
                </c:pt>
                <c:pt idx="17">
                  <c:v>3.5471259189665254</c:v>
                </c:pt>
                <c:pt idx="18">
                  <c:v>3.5025659599819203</c:v>
                </c:pt>
              </c:numCache>
            </c:numRef>
          </c:yVal>
          <c:smooth val="0"/>
          <c:extLst>
            <c:ext xmlns:c16="http://schemas.microsoft.com/office/drawing/2014/chart" uri="{C3380CC4-5D6E-409C-BE32-E72D297353CC}">
              <c16:uniqueId val="{00000052-8389-42DA-8862-0D700869E5C7}"/>
            </c:ext>
          </c:extLst>
        </c:ser>
        <c:ser>
          <c:idx val="5"/>
          <c:order val="5"/>
          <c:tx>
            <c:v>95% limit</c:v>
          </c:tx>
          <c:spPr>
            <a:ln w="3175">
              <a:solidFill>
                <a:srgbClr val="FF0000"/>
              </a:solidFill>
              <a:prstDash val="sysDash"/>
            </a:ln>
          </c:spPr>
          <c:marker>
            <c:symbol val="none"/>
          </c:marker>
          <c:xVal>
            <c:numRef>
              <c:f>curves!$B$5:$B$23</c:f>
              <c:numCache>
                <c:formatCode>0.000</c:formatCode>
                <c:ptCount val="19"/>
                <c:pt idx="0">
                  <c:v>1.9097676938321868</c:v>
                </c:pt>
                <c:pt idx="1">
                  <c:v>2.1218382609045174</c:v>
                </c:pt>
                <c:pt idx="2">
                  <c:v>2.4241706964511001</c:v>
                </c:pt>
                <c:pt idx="3">
                  <c:v>2.6736521259591592</c:v>
                </c:pt>
                <c:pt idx="4">
                  <c:v>2.9462510893681775</c:v>
                </c:pt>
                <c:pt idx="5">
                  <c:v>3.2493139287478305</c:v>
                </c:pt>
                <c:pt idx="6">
                  <c:v>3.3551463730485276</c:v>
                </c:pt>
                <c:pt idx="7">
                  <c:v>3.7184484344553992</c:v>
                </c:pt>
                <c:pt idx="8">
                  <c:v>4.1583787664270853</c:v>
                </c:pt>
                <c:pt idx="9">
                  <c:v>4.4755994872919587</c:v>
                </c:pt>
                <c:pt idx="10">
                  <c:v>4.7466528968641999</c:v>
                </c:pt>
                <c:pt idx="11">
                  <c:v>5</c:v>
                </c:pt>
                <c:pt idx="12">
                  <c:v>5.2533471031358001</c:v>
                </c:pt>
                <c:pt idx="13">
                  <c:v>5.5244005127080404</c:v>
                </c:pt>
                <c:pt idx="14">
                  <c:v>5.8416212335729147</c:v>
                </c:pt>
                <c:pt idx="15">
                  <c:v>6.2815515655446008</c:v>
                </c:pt>
                <c:pt idx="16">
                  <c:v>6.6448536269514715</c:v>
                </c:pt>
                <c:pt idx="17">
                  <c:v>7.0537489106318221</c:v>
                </c:pt>
                <c:pt idx="18">
                  <c:v>7.3263478740408408</c:v>
                </c:pt>
              </c:numCache>
            </c:numRef>
          </c:xVal>
          <c:yVal>
            <c:numRef>
              <c:f>curves!$M$5:$M$23</c:f>
              <c:numCache>
                <c:formatCode>0.000</c:formatCode>
                <c:ptCount val="19"/>
                <c:pt idx="0">
                  <c:v>4.4472423294165777</c:v>
                </c:pt>
                <c:pt idx="1">
                  <c:v>4.4049896250810825</c:v>
                </c:pt>
                <c:pt idx="2">
                  <c:v>4.3452028554556792</c:v>
                </c:pt>
                <c:pt idx="3">
                  <c:v>4.2962372189597078</c:v>
                </c:pt>
                <c:pt idx="4">
                  <c:v>4.2430665822329212</c:v>
                </c:pt>
                <c:pt idx="5">
                  <c:v>4.1842887139454774</c:v>
                </c:pt>
                <c:pt idx="6">
                  <c:v>4.1638252354079484</c:v>
                </c:pt>
                <c:pt idx="7">
                  <c:v>4.0936983740429156</c:v>
                </c:pt>
                <c:pt idx="8">
                  <c:v>4.00862155436148</c:v>
                </c:pt>
                <c:pt idx="9">
                  <c:v>3.946728191828754</c:v>
                </c:pt>
                <c:pt idx="10">
                  <c:v>3.8931922719146606</c:v>
                </c:pt>
                <c:pt idx="11">
                  <c:v>3.8424836576914538</c:v>
                </c:pt>
                <c:pt idx="12">
                  <c:v>3.7910827277996884</c:v>
                </c:pt>
                <c:pt idx="13">
                  <c:v>3.7354649507369651</c:v>
                </c:pt>
                <c:pt idx="14">
                  <c:v>3.6698231038338207</c:v>
                </c:pt>
                <c:pt idx="15">
                  <c:v>3.5784608642389029</c:v>
                </c:pt>
                <c:pt idx="16">
                  <c:v>3.5032426031563038</c:v>
                </c:pt>
                <c:pt idx="17">
                  <c:v>3.4192406173121146</c:v>
                </c:pt>
                <c:pt idx="18">
                  <c:v>3.3637575810764595</c:v>
                </c:pt>
              </c:numCache>
            </c:numRef>
          </c:yVal>
          <c:smooth val="0"/>
          <c:extLst>
            <c:ext xmlns:c16="http://schemas.microsoft.com/office/drawing/2014/chart" uri="{C3380CC4-5D6E-409C-BE32-E72D297353CC}">
              <c16:uniqueId val="{00000053-8389-42DA-8862-0D700869E5C7}"/>
            </c:ext>
          </c:extLst>
        </c:ser>
        <c:ser>
          <c:idx val="15"/>
          <c:order val="6"/>
          <c:tx>
            <c:v>expected prob</c:v>
          </c:tx>
          <c:spPr>
            <a:ln w="25400">
              <a:noFill/>
            </a:ln>
          </c:spPr>
          <c:marker>
            <c:symbol val="none"/>
          </c:marker>
          <c:xVal>
            <c:numRef>
              <c:f>curves!$R$5:$R$10</c:f>
              <c:numCache>
                <c:formatCode>0.000</c:formatCode>
                <c:ptCount val="6"/>
                <c:pt idx="0">
                  <c:v>1.9918732722801678</c:v>
                </c:pt>
                <c:pt idx="1">
                  <c:v>2.7302734193683618</c:v>
                </c:pt>
                <c:pt idx="2">
                  <c:v>3.384923633991705</c:v>
                </c:pt>
                <c:pt idx="3">
                  <c:v>3.736178655670229</c:v>
                </c:pt>
                <c:pt idx="4">
                  <c:v>4.4824788025754945</c:v>
                </c:pt>
                <c:pt idx="5">
                  <c:v>5</c:v>
                </c:pt>
              </c:numCache>
            </c:numRef>
          </c:xVal>
          <c:yVal>
            <c:numRef>
              <c:f>curves!$S$5:$S$10</c:f>
              <c:numCache>
                <c:formatCode>0.000</c:formatCode>
                <c:ptCount val="6"/>
                <c:pt idx="0">
                  <c:v>4.5295233789833436</c:v>
                </c:pt>
                <c:pt idx="1">
                  <c:v>4.3613846117405055</c:v>
                </c:pt>
                <c:pt idx="2">
                  <c:v>4.2155149752222023</c:v>
                </c:pt>
                <c:pt idx="3">
                  <c:v>4.1393306767060771</c:v>
                </c:pt>
                <c:pt idx="4">
                  <c:v>3.9840532564074205</c:v>
                </c:pt>
                <c:pt idx="5">
                  <c:v>3.8792638779052373</c:v>
                </c:pt>
              </c:numCache>
            </c:numRef>
          </c:yVal>
          <c:smooth val="0"/>
          <c:extLst>
            <c:ext xmlns:c16="http://schemas.microsoft.com/office/drawing/2014/chart" uri="{C3380CC4-5D6E-409C-BE32-E72D297353CC}">
              <c16:uniqueId val="{00000054-8389-42DA-8862-0D700869E5C7}"/>
            </c:ext>
          </c:extLst>
        </c:ser>
        <c:dLbls>
          <c:showLegendKey val="0"/>
          <c:showVal val="0"/>
          <c:showCatName val="0"/>
          <c:showSerName val="0"/>
          <c:showPercent val="0"/>
          <c:showBubbleSize val="0"/>
        </c:dLbls>
        <c:axId val="143784856"/>
        <c:axId val="143785248"/>
      </c:scatterChart>
      <c:valAx>
        <c:axId val="143784856"/>
        <c:scaling>
          <c:orientation val="maxMin"/>
          <c:max val="9"/>
          <c:min val="1.1918317355509807"/>
        </c:scaling>
        <c:delete val="0"/>
        <c:axPos val="b"/>
        <c:title>
          <c:tx>
            <c:rich>
              <a:bodyPr/>
              <a:lstStyle/>
              <a:p>
                <a:pPr>
                  <a:defRPr sz="1200" b="0" i="0" u="none" strike="noStrike" baseline="0">
                    <a:solidFill>
                      <a:srgbClr val="000000"/>
                    </a:solidFill>
                    <a:latin typeface="Book Antiqua"/>
                    <a:ea typeface="Book Antiqua"/>
                    <a:cs typeface="Book Antiqua"/>
                  </a:defRPr>
                </a:pPr>
                <a:r>
                  <a:rPr lang="en-US"/>
                  <a:t>exceedance probability</a:t>
                </a:r>
              </a:p>
            </c:rich>
          </c:tx>
          <c:layout>
            <c:manualLayout>
              <c:xMode val="edge"/>
              <c:yMode val="edge"/>
              <c:x val="0.41622760800842995"/>
              <c:y val="0.94014598540145988"/>
            </c:manualLayout>
          </c:layout>
          <c:overlay val="0"/>
          <c:spPr>
            <a:noFill/>
            <a:ln w="25400">
              <a:noFill/>
            </a:ln>
          </c:spPr>
        </c:title>
        <c:numFmt formatCode="0.000" sourceLinked="1"/>
        <c:majorTickMark val="none"/>
        <c:minorTickMark val="none"/>
        <c:tickLblPos val="none"/>
        <c:spPr>
          <a:ln w="3175">
            <a:solidFill>
              <a:srgbClr val="000000"/>
            </a:solidFill>
            <a:prstDash val="solid"/>
          </a:ln>
        </c:spPr>
        <c:crossAx val="143785248"/>
        <c:crossesAt val="4"/>
        <c:crossBetween val="midCat"/>
      </c:valAx>
      <c:valAx>
        <c:axId val="143785248"/>
        <c:scaling>
          <c:orientation val="minMax"/>
          <c:max val="5"/>
          <c:min val="3"/>
        </c:scaling>
        <c:delete val="0"/>
        <c:axPos val="r"/>
        <c:majorGridlines>
          <c:spPr>
            <a:ln w="3175">
              <a:solidFill>
                <a:srgbClr val="000000"/>
              </a:solidFill>
              <a:prstDash val="solid"/>
            </a:ln>
          </c:spPr>
        </c:majorGridlines>
        <c:minorGridlines>
          <c:spPr>
            <a:ln w="3175">
              <a:solidFill>
                <a:srgbClr val="FFFFFF"/>
              </a:solidFill>
              <a:prstDash val="lgDash"/>
            </a:ln>
          </c:spPr>
        </c:minorGridlines>
        <c:title>
          <c:tx>
            <c:rich>
              <a:bodyPr/>
              <a:lstStyle/>
              <a:p>
                <a:pPr>
                  <a:defRPr sz="1200" b="0" i="0" u="none" strike="noStrike" baseline="0">
                    <a:solidFill>
                      <a:srgbClr val="000000"/>
                    </a:solidFill>
                    <a:latin typeface="Book Antiqua"/>
                    <a:ea typeface="Book Antiqua"/>
                    <a:cs typeface="Book Antiqua"/>
                  </a:defRPr>
                </a:pPr>
                <a:r>
                  <a:rPr lang="en-US"/>
                  <a:t>flow (cfs)</a:t>
                </a:r>
              </a:p>
            </c:rich>
          </c:tx>
          <c:layout>
            <c:manualLayout>
              <c:xMode val="edge"/>
              <c:yMode val="edge"/>
              <c:x val="0"/>
              <c:y val="0.44087591240875912"/>
            </c:manualLayout>
          </c:layout>
          <c:overlay val="0"/>
          <c:spPr>
            <a:noFill/>
            <a:ln w="25400">
              <a:noFill/>
            </a:ln>
          </c:spPr>
        </c:title>
        <c:numFmt formatCode="0.000" sourceLinked="1"/>
        <c:majorTickMark val="none"/>
        <c:minorTickMark val="none"/>
        <c:tickLblPos val="none"/>
        <c:spPr>
          <a:ln w="9525">
            <a:noFill/>
          </a:ln>
        </c:spPr>
        <c:crossAx val="143784856"/>
        <c:crosses val="autoZero"/>
        <c:crossBetween val="midCat"/>
        <c:majorUnit val="1"/>
        <c:minorUnit val="0.2"/>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50" b="0" i="0" u="none" strike="noStrike" baseline="0">
          <a:solidFill>
            <a:srgbClr val="000000"/>
          </a:solidFill>
          <a:latin typeface="Book Antiqua"/>
          <a:ea typeface="Book Antiqua"/>
          <a:cs typeface="Book Antiqua"/>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200-000000000000}">
  <sheetPr codeName="Chart1"/>
  <sheetViews>
    <sheetView tabSelected="1" zoomScale="75" workbookViewId="0"/>
  </sheetViews>
  <pageMargins left="0.5" right="0.5" top="0.5" bottom="0.75" header="0.5" footer="0.5"/>
  <pageSetup orientation="landscape" horizontalDpi="4294967293" r:id="rId1"/>
  <headerFooter alignWithMargins="0">
    <oddFooter>&amp;Lplot date: &amp;D
file: &amp;F</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180975</xdr:colOff>
          <xdr:row>8</xdr:row>
          <xdr:rowOff>85725</xdr:rowOff>
        </xdr:from>
        <xdr:to>
          <xdr:col>10</xdr:col>
          <xdr:colOff>152400</xdr:colOff>
          <xdr:row>10</xdr:row>
          <xdr:rowOff>114300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calculate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20</xdr:row>
          <xdr:rowOff>0</xdr:rowOff>
        </xdr:from>
        <xdr:to>
          <xdr:col>5</xdr:col>
          <xdr:colOff>457200</xdr:colOff>
          <xdr:row>22</xdr:row>
          <xdr:rowOff>104775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000-000002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obtain K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63</xdr:row>
          <xdr:rowOff>76200</xdr:rowOff>
        </xdr:from>
        <xdr:to>
          <xdr:col>5</xdr:col>
          <xdr:colOff>447675</xdr:colOff>
          <xdr:row>65</xdr:row>
          <xdr:rowOff>142875</xdr:rowOff>
        </xdr:to>
        <xdr:sp macro="" textlink="">
          <xdr:nvSpPr>
            <xdr:cNvPr id="90124" name="Button 12" hidden="1">
              <a:extLst>
                <a:ext uri="{63B3BB69-23CF-44E3-9099-C40C66FF867C}">
                  <a14:compatExt spid="_x0000_s90124"/>
                </a:ext>
                <a:ext uri="{FF2B5EF4-FFF2-40B4-BE49-F238E27FC236}">
                  <a16:creationId xmlns:a16="http://schemas.microsoft.com/office/drawing/2014/main" id="{00000000-0008-0000-0000-00000C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save to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19050</xdr:rowOff>
        </xdr:from>
        <xdr:to>
          <xdr:col>10</xdr:col>
          <xdr:colOff>161925</xdr:colOff>
          <xdr:row>15</xdr:row>
          <xdr:rowOff>95250</xdr:rowOff>
        </xdr:to>
        <xdr:sp macro="" textlink="">
          <xdr:nvSpPr>
            <xdr:cNvPr id="90125" name="Button 13" hidden="1">
              <a:extLst>
                <a:ext uri="{63B3BB69-23CF-44E3-9099-C40C66FF867C}">
                  <a14:compatExt spid="_x0000_s90125"/>
                </a:ext>
                <a:ext uri="{FF2B5EF4-FFF2-40B4-BE49-F238E27FC236}">
                  <a16:creationId xmlns:a16="http://schemas.microsoft.com/office/drawing/2014/main" id="{00000000-0008-0000-0000-00000D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remove outliers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571500</xdr:colOff>
          <xdr:row>24</xdr:row>
          <xdr:rowOff>95250</xdr:rowOff>
        </xdr:from>
        <xdr:to>
          <xdr:col>18</xdr:col>
          <xdr:colOff>0</xdr:colOff>
          <xdr:row>27</xdr:row>
          <xdr:rowOff>66675</xdr:rowOff>
        </xdr:to>
        <xdr:sp macro="" textlink="">
          <xdr:nvSpPr>
            <xdr:cNvPr id="90126" name="Button 14" hidden="1">
              <a:extLst>
                <a:ext uri="{63B3BB69-23CF-44E3-9099-C40C66FF867C}">
                  <a14:compatExt spid="_x0000_s90126"/>
                </a:ext>
                <a:ext uri="{FF2B5EF4-FFF2-40B4-BE49-F238E27FC236}">
                  <a16:creationId xmlns:a16="http://schemas.microsoft.com/office/drawing/2014/main" id="{00000000-0008-0000-0000-00000E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test other weighted skews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42</xdr:row>
          <xdr:rowOff>9525</xdr:rowOff>
        </xdr:from>
        <xdr:to>
          <xdr:col>5</xdr:col>
          <xdr:colOff>447675</xdr:colOff>
          <xdr:row>44</xdr:row>
          <xdr:rowOff>114300</xdr:rowOff>
        </xdr:to>
        <xdr:sp macro="" textlink="">
          <xdr:nvSpPr>
            <xdr:cNvPr id="90127" name="Button 15" hidden="1">
              <a:extLst>
                <a:ext uri="{63B3BB69-23CF-44E3-9099-C40C66FF867C}">
                  <a14:compatExt spid="_x0000_s90127"/>
                </a:ext>
                <a:ext uri="{FF2B5EF4-FFF2-40B4-BE49-F238E27FC236}">
                  <a16:creationId xmlns:a16="http://schemas.microsoft.com/office/drawing/2014/main" id="{00000000-0008-0000-0000-00000F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historic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171450</xdr:colOff>
          <xdr:row>55</xdr:row>
          <xdr:rowOff>38100</xdr:rowOff>
        </xdr:from>
        <xdr:to>
          <xdr:col>5</xdr:col>
          <xdr:colOff>476250</xdr:colOff>
          <xdr:row>58</xdr:row>
          <xdr:rowOff>123825</xdr:rowOff>
        </xdr:to>
        <xdr:sp macro="" textlink="">
          <xdr:nvSpPr>
            <xdr:cNvPr id="90130" name="Button 18" hidden="1">
              <a:extLst>
                <a:ext uri="{63B3BB69-23CF-44E3-9099-C40C66FF867C}">
                  <a14:compatExt spid="_x0000_s90130"/>
                </a:ext>
                <a:ext uri="{FF2B5EF4-FFF2-40B4-BE49-F238E27FC236}">
                  <a16:creationId xmlns:a16="http://schemas.microsoft.com/office/drawing/2014/main" id="{00000000-0008-0000-0000-000012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conditional probability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73</xdr:row>
          <xdr:rowOff>57150</xdr:rowOff>
        </xdr:from>
        <xdr:to>
          <xdr:col>3</xdr:col>
          <xdr:colOff>133350</xdr:colOff>
          <xdr:row>76</xdr:row>
          <xdr:rowOff>66675</xdr:rowOff>
        </xdr:to>
        <xdr:sp macro="" textlink="">
          <xdr:nvSpPr>
            <xdr:cNvPr id="90136" name="Object 24" hidden="1">
              <a:extLst>
                <a:ext uri="{63B3BB69-23CF-44E3-9099-C40C66FF867C}">
                  <a14:compatExt spid="_x0000_s90136"/>
                </a:ext>
                <a:ext uri="{FF2B5EF4-FFF2-40B4-BE49-F238E27FC236}">
                  <a16:creationId xmlns:a16="http://schemas.microsoft.com/office/drawing/2014/main" id="{00000000-0008-0000-0000-0000186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73</xdr:row>
          <xdr:rowOff>47625</xdr:rowOff>
        </xdr:from>
        <xdr:to>
          <xdr:col>10</xdr:col>
          <xdr:colOff>438150</xdr:colOff>
          <xdr:row>76</xdr:row>
          <xdr:rowOff>57150</xdr:rowOff>
        </xdr:to>
        <xdr:sp macro="" textlink="">
          <xdr:nvSpPr>
            <xdr:cNvPr id="90137" name="Object 25" hidden="1">
              <a:extLst>
                <a:ext uri="{63B3BB69-23CF-44E3-9099-C40C66FF867C}">
                  <a14:compatExt spid="_x0000_s90137"/>
                </a:ext>
                <a:ext uri="{FF2B5EF4-FFF2-40B4-BE49-F238E27FC236}">
                  <a16:creationId xmlns:a16="http://schemas.microsoft.com/office/drawing/2014/main" id="{00000000-0008-0000-0000-0000196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504825</xdr:colOff>
          <xdr:row>77</xdr:row>
          <xdr:rowOff>9525</xdr:rowOff>
        </xdr:from>
        <xdr:to>
          <xdr:col>5</xdr:col>
          <xdr:colOff>0</xdr:colOff>
          <xdr:row>79</xdr:row>
          <xdr:rowOff>123825</xdr:rowOff>
        </xdr:to>
        <xdr:sp macro="" textlink="">
          <xdr:nvSpPr>
            <xdr:cNvPr id="90138" name="Button 26" hidden="1">
              <a:extLst>
                <a:ext uri="{63B3BB69-23CF-44E3-9099-C40C66FF867C}">
                  <a14:compatExt spid="_x0000_s90138"/>
                </a:ext>
                <a:ext uri="{FF2B5EF4-FFF2-40B4-BE49-F238E27FC236}">
                  <a16:creationId xmlns:a16="http://schemas.microsoft.com/office/drawing/2014/main" id="{00000000-0008-0000-0000-00001A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replot- (Gringorten)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77</xdr:row>
          <xdr:rowOff>0</xdr:rowOff>
        </xdr:from>
        <xdr:to>
          <xdr:col>13</xdr:col>
          <xdr:colOff>66675</xdr:colOff>
          <xdr:row>79</xdr:row>
          <xdr:rowOff>114300</xdr:rowOff>
        </xdr:to>
        <xdr:sp macro="" textlink="">
          <xdr:nvSpPr>
            <xdr:cNvPr id="90139" name="Button 27" hidden="1">
              <a:extLst>
                <a:ext uri="{63B3BB69-23CF-44E3-9099-C40C66FF867C}">
                  <a14:compatExt spid="_x0000_s90139"/>
                </a:ext>
                <a:ext uri="{FF2B5EF4-FFF2-40B4-BE49-F238E27FC236}">
                  <a16:creationId xmlns:a16="http://schemas.microsoft.com/office/drawing/2014/main" id="{00000000-0008-0000-0000-00001B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return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86</xdr:row>
          <xdr:rowOff>9525</xdr:rowOff>
        </xdr:from>
        <xdr:to>
          <xdr:col>10</xdr:col>
          <xdr:colOff>361950</xdr:colOff>
          <xdr:row>88</xdr:row>
          <xdr:rowOff>123825</xdr:rowOff>
        </xdr:to>
        <xdr:sp macro="" textlink="">
          <xdr:nvSpPr>
            <xdr:cNvPr id="90140" name="Button 28" hidden="1">
              <a:extLst>
                <a:ext uri="{63B3BB69-23CF-44E3-9099-C40C66FF867C}">
                  <a14:compatExt spid="_x0000_s90140"/>
                </a:ext>
                <a:ext uri="{FF2B5EF4-FFF2-40B4-BE49-F238E27FC236}">
                  <a16:creationId xmlns:a16="http://schemas.microsoft.com/office/drawing/2014/main" id="{00000000-0008-0000-0000-00001C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toggle expected probability curve on &amp;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73</xdr:row>
          <xdr:rowOff>47625</xdr:rowOff>
        </xdr:from>
        <xdr:to>
          <xdr:col>7</xdr:col>
          <xdr:colOff>47625</xdr:colOff>
          <xdr:row>76</xdr:row>
          <xdr:rowOff>57150</xdr:rowOff>
        </xdr:to>
        <xdr:sp macro="" textlink="">
          <xdr:nvSpPr>
            <xdr:cNvPr id="90143" name="Object 31" hidden="1">
              <a:extLst>
                <a:ext uri="{63B3BB69-23CF-44E3-9099-C40C66FF867C}">
                  <a14:compatExt spid="_x0000_s90143"/>
                </a:ext>
                <a:ext uri="{FF2B5EF4-FFF2-40B4-BE49-F238E27FC236}">
                  <a16:creationId xmlns:a16="http://schemas.microsoft.com/office/drawing/2014/main" id="{00000000-0008-0000-0000-00001F60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77</xdr:row>
          <xdr:rowOff>9525</xdr:rowOff>
        </xdr:from>
        <xdr:to>
          <xdr:col>9</xdr:col>
          <xdr:colOff>28575</xdr:colOff>
          <xdr:row>79</xdr:row>
          <xdr:rowOff>123825</xdr:rowOff>
        </xdr:to>
        <xdr:sp macro="" textlink="">
          <xdr:nvSpPr>
            <xdr:cNvPr id="90144" name="Button 32" hidden="1">
              <a:extLst>
                <a:ext uri="{63B3BB69-23CF-44E3-9099-C40C66FF867C}">
                  <a14:compatExt spid="_x0000_s90144"/>
                </a:ext>
                <a:ext uri="{FF2B5EF4-FFF2-40B4-BE49-F238E27FC236}">
                  <a16:creationId xmlns:a16="http://schemas.microsoft.com/office/drawing/2014/main" id="{00000000-0008-0000-0000-000020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replot- (Cunnane)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323850</xdr:colOff>
          <xdr:row>31</xdr:row>
          <xdr:rowOff>66675</xdr:rowOff>
        </xdr:from>
        <xdr:to>
          <xdr:col>7</xdr:col>
          <xdr:colOff>85725</xdr:colOff>
          <xdr:row>34</xdr:row>
          <xdr:rowOff>66675</xdr:rowOff>
        </xdr:to>
        <xdr:sp macro="" textlink="">
          <xdr:nvSpPr>
            <xdr:cNvPr id="90145" name="Button 33" hidden="1">
              <a:extLst>
                <a:ext uri="{63B3BB69-23CF-44E3-9099-C40C66FF867C}">
                  <a14:compatExt spid="_x0000_s90145"/>
                </a:ext>
                <a:ext uri="{FF2B5EF4-FFF2-40B4-BE49-F238E27FC236}">
                  <a16:creationId xmlns:a16="http://schemas.microsoft.com/office/drawing/2014/main" id="{00000000-0008-0000-0000-00002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read frequency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31</xdr:row>
          <xdr:rowOff>57150</xdr:rowOff>
        </xdr:from>
        <xdr:to>
          <xdr:col>15</xdr:col>
          <xdr:colOff>142875</xdr:colOff>
          <xdr:row>34</xdr:row>
          <xdr:rowOff>57150</xdr:rowOff>
        </xdr:to>
        <xdr:sp macro="" textlink="">
          <xdr:nvSpPr>
            <xdr:cNvPr id="90146" name="Button 34" hidden="1">
              <a:extLst>
                <a:ext uri="{63B3BB69-23CF-44E3-9099-C40C66FF867C}">
                  <a14:compatExt spid="_x0000_s90146"/>
                </a:ext>
                <a:ext uri="{FF2B5EF4-FFF2-40B4-BE49-F238E27FC236}">
                  <a16:creationId xmlns:a16="http://schemas.microsoft.com/office/drawing/2014/main" id="{00000000-0008-0000-0000-000022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re-scale Y-axis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3</xdr:row>
          <xdr:rowOff>133350</xdr:rowOff>
        </xdr:from>
        <xdr:to>
          <xdr:col>4</xdr:col>
          <xdr:colOff>152400</xdr:colOff>
          <xdr:row>6</xdr:row>
          <xdr:rowOff>85725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100-0000017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get state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11</xdr:row>
          <xdr:rowOff>38100</xdr:rowOff>
        </xdr:from>
        <xdr:to>
          <xdr:col>4</xdr:col>
          <xdr:colOff>285750</xdr:colOff>
          <xdr:row>13</xdr:row>
          <xdr:rowOff>114300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0100-0000027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FF"/>
                  </a:solidFill>
                  <a:latin typeface="Book Antiqua"/>
                </a:rPr>
                <a:t>get USGS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029700" cy="6515100"/>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0.77275</cdr:x>
      <cdr:y>0.96675</cdr:y>
    </cdr:from>
    <cdr:to>
      <cdr:x>0.98535</cdr:x>
      <cdr:y>0.99298</cdr:y>
    </cdr:to>
    <cdr:sp macro="" textlink="">
      <cdr:nvSpPr>
        <cdr:cNvPr id="1026" name="recurr"/>
        <cdr:cNvSpPr txBox="1">
          <a:spLocks xmlns:a="http://schemas.openxmlformats.org/drawingml/2006/main" noChangeArrowheads="1"/>
        </cdr:cNvSpPr>
      </cdr:nvSpPr>
      <cdr:spPr bwMode="auto">
        <a:xfrm xmlns:a="http://schemas.openxmlformats.org/drawingml/2006/main">
          <a:off x="6985061" y="6307681"/>
          <a:ext cx="1921745" cy="17113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900" b="0" i="0" u="none" strike="noStrike" baseline="0">
              <a:solidFill>
                <a:srgbClr val="000000"/>
              </a:solidFill>
              <a:latin typeface="Book Antiqua"/>
            </a:rPr>
            <a:t>recurrence interval = 100/probability</a:t>
          </a:r>
        </a:p>
      </cdr:txBody>
    </cdr:sp>
  </cdr:relSizeAnchor>
  <cdr:relSizeAnchor xmlns:cdr="http://schemas.openxmlformats.org/drawingml/2006/chartDrawing">
    <cdr:from>
      <cdr:x>0.7905</cdr:x>
      <cdr:y>0.05</cdr:y>
    </cdr:from>
    <cdr:to>
      <cdr:x>0.81489</cdr:x>
      <cdr:y>0.07989</cdr:y>
    </cdr:to>
    <cdr:sp macro="" textlink="">
      <cdr:nvSpPr>
        <cdr:cNvPr id="1032" name="100yr"/>
        <cdr:cNvSpPr txBox="1">
          <a:spLocks xmlns:a="http://schemas.openxmlformats.org/drawingml/2006/main" noChangeArrowheads="1"/>
        </cdr:cNvSpPr>
      </cdr:nvSpPr>
      <cdr:spPr bwMode="auto">
        <a:xfrm xmlns:a="http://schemas.openxmlformats.org/drawingml/2006/main">
          <a:off x="7145507" y="326231"/>
          <a:ext cx="220445"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100</a:t>
          </a:r>
        </a:p>
      </cdr:txBody>
    </cdr:sp>
  </cdr:relSizeAnchor>
  <cdr:relSizeAnchor xmlns:cdr="http://schemas.openxmlformats.org/drawingml/2006/chartDrawing">
    <cdr:from>
      <cdr:x>0.85225</cdr:x>
      <cdr:y>0.05</cdr:y>
    </cdr:from>
    <cdr:to>
      <cdr:x>0.87664</cdr:x>
      <cdr:y>0.07989</cdr:y>
    </cdr:to>
    <cdr:sp macro="" textlink="">
      <cdr:nvSpPr>
        <cdr:cNvPr id="1033" name="500yr"/>
        <cdr:cNvSpPr txBox="1">
          <a:spLocks xmlns:a="http://schemas.openxmlformats.org/drawingml/2006/main" noChangeArrowheads="1"/>
        </cdr:cNvSpPr>
      </cdr:nvSpPr>
      <cdr:spPr bwMode="auto">
        <a:xfrm xmlns:a="http://schemas.openxmlformats.org/drawingml/2006/main">
          <a:off x="7703680" y="326231"/>
          <a:ext cx="220445"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500</a:t>
          </a:r>
        </a:p>
      </cdr:txBody>
    </cdr:sp>
  </cdr:relSizeAnchor>
  <cdr:relSizeAnchor xmlns:cdr="http://schemas.openxmlformats.org/drawingml/2006/chartDrawing">
    <cdr:from>
      <cdr:x>0.75675</cdr:x>
      <cdr:y>0.05</cdr:y>
    </cdr:from>
    <cdr:to>
      <cdr:x>0.77369</cdr:x>
      <cdr:y>0.07989</cdr:y>
    </cdr:to>
    <cdr:sp macro="" textlink="">
      <cdr:nvSpPr>
        <cdr:cNvPr id="1034" name="50yr" descr="50-year recurrence"/>
        <cdr:cNvSpPr txBox="1">
          <a:spLocks xmlns:a="http://schemas.openxmlformats.org/drawingml/2006/main" noChangeArrowheads="1"/>
        </cdr:cNvSpPr>
      </cdr:nvSpPr>
      <cdr:spPr bwMode="auto">
        <a:xfrm xmlns:a="http://schemas.openxmlformats.org/drawingml/2006/main">
          <a:off x="6840434" y="326231"/>
          <a:ext cx="153119"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50</a:t>
          </a:r>
        </a:p>
      </cdr:txBody>
    </cdr:sp>
  </cdr:relSizeAnchor>
  <cdr:relSizeAnchor xmlns:cdr="http://schemas.openxmlformats.org/drawingml/2006/chartDrawing">
    <cdr:from>
      <cdr:x>0.7145</cdr:x>
      <cdr:y>0.05</cdr:y>
    </cdr:from>
    <cdr:to>
      <cdr:x>0.73144</cdr:x>
      <cdr:y>0.07989</cdr:y>
    </cdr:to>
    <cdr:sp macro="" textlink="">
      <cdr:nvSpPr>
        <cdr:cNvPr id="1035" name="20yr"/>
        <cdr:cNvSpPr txBox="1">
          <a:spLocks xmlns:a="http://schemas.openxmlformats.org/drawingml/2006/main" noChangeArrowheads="1"/>
        </cdr:cNvSpPr>
      </cdr:nvSpPr>
      <cdr:spPr bwMode="auto">
        <a:xfrm xmlns:a="http://schemas.openxmlformats.org/drawingml/2006/main">
          <a:off x="6458526" y="326231"/>
          <a:ext cx="153119"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20</a:t>
          </a:r>
        </a:p>
      </cdr:txBody>
    </cdr:sp>
  </cdr:relSizeAnchor>
  <cdr:relSizeAnchor xmlns:cdr="http://schemas.openxmlformats.org/drawingml/2006/chartDrawing">
    <cdr:from>
      <cdr:x>0.67025</cdr:x>
      <cdr:y>0.05</cdr:y>
    </cdr:from>
    <cdr:to>
      <cdr:x>0.68719</cdr:x>
      <cdr:y>0.07989</cdr:y>
    </cdr:to>
    <cdr:sp macro="" textlink="">
      <cdr:nvSpPr>
        <cdr:cNvPr id="1036" name="10yr"/>
        <cdr:cNvSpPr txBox="1">
          <a:spLocks xmlns:a="http://schemas.openxmlformats.org/drawingml/2006/main" noChangeArrowheads="1"/>
        </cdr:cNvSpPr>
      </cdr:nvSpPr>
      <cdr:spPr bwMode="auto">
        <a:xfrm xmlns:a="http://schemas.openxmlformats.org/drawingml/2006/main">
          <a:off x="6058541" y="326231"/>
          <a:ext cx="153119"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10</a:t>
          </a:r>
        </a:p>
      </cdr:txBody>
    </cdr:sp>
  </cdr:relSizeAnchor>
  <cdr:relSizeAnchor xmlns:cdr="http://schemas.openxmlformats.org/drawingml/2006/chartDrawing">
    <cdr:from>
      <cdr:x>0.52875</cdr:x>
      <cdr:y>0.05</cdr:y>
    </cdr:from>
    <cdr:to>
      <cdr:x>0.53824</cdr:x>
      <cdr:y>0.07989</cdr:y>
    </cdr:to>
    <cdr:sp macro="" textlink="">
      <cdr:nvSpPr>
        <cdr:cNvPr id="1037" name="2yr"/>
        <cdr:cNvSpPr txBox="1">
          <a:spLocks xmlns:a="http://schemas.openxmlformats.org/drawingml/2006/main" noChangeArrowheads="1"/>
        </cdr:cNvSpPr>
      </cdr:nvSpPr>
      <cdr:spPr bwMode="auto">
        <a:xfrm xmlns:a="http://schemas.openxmlformats.org/drawingml/2006/main">
          <a:off x="4779490" y="326231"/>
          <a:ext cx="85793" cy="19505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7432" rIns="0" bIns="0" anchor="t" upright="1">
          <a:spAutoFit/>
        </a:bodyPr>
        <a:lstStyle xmlns:a="http://schemas.openxmlformats.org/drawingml/2006/main"/>
        <a:p xmlns:a="http://schemas.openxmlformats.org/drawingml/2006/main">
          <a:pPr algn="l" rtl="0">
            <a:defRPr sz="1000"/>
          </a:pPr>
          <a:r>
            <a:rPr lang="en-US" sz="1050" b="0" i="0" u="none" strike="noStrike" baseline="0">
              <a:solidFill>
                <a:srgbClr val="000000"/>
              </a:solidFill>
              <a:latin typeface="Book Antiqua"/>
            </a:rPr>
            <a:t>2</a:t>
          </a:r>
        </a:p>
      </cdr:txBody>
    </cdr:sp>
  </cdr:relSizeAnchor>
  <cdr:relSizeAnchor xmlns:cdr="http://schemas.openxmlformats.org/drawingml/2006/chartDrawing">
    <cdr:from>
      <cdr:x>0.77275</cdr:x>
      <cdr:y>0.946</cdr:y>
    </cdr:from>
    <cdr:to>
      <cdr:x>0.9265</cdr:x>
      <cdr:y>0.978</cdr:y>
    </cdr:to>
    <cdr:sp macro="" textlink="">
      <cdr:nvSpPr>
        <cdr:cNvPr id="1039" name="plotPosition"/>
        <cdr:cNvSpPr txBox="1">
          <a:spLocks xmlns:a="http://schemas.openxmlformats.org/drawingml/2006/main" noChangeArrowheads="1"/>
        </cdr:cNvSpPr>
      </cdr:nvSpPr>
      <cdr:spPr bwMode="auto">
        <a:xfrm xmlns:a="http://schemas.openxmlformats.org/drawingml/2006/main">
          <a:off x="6985061" y="6172295"/>
          <a:ext cx="1389781" cy="20878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7432" rIns="0" bIns="0" anchor="t" upright="1"/>
        <a:lstStyle xmlns:a="http://schemas.openxmlformats.org/drawingml/2006/main"/>
        <a:p xmlns:a="http://schemas.openxmlformats.org/drawingml/2006/main">
          <a:pPr algn="l" rtl="0">
            <a:defRPr sz="1000"/>
          </a:pPr>
          <a:r>
            <a:rPr lang="en-US" sz="900" b="0" i="0" u="none" strike="noStrike" baseline="0">
              <a:solidFill>
                <a:srgbClr val="000000"/>
              </a:solidFill>
              <a:latin typeface="Book Antiqua"/>
            </a:rPr>
            <a:t>plot position: Weibull</a:t>
          </a: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24</xdr:col>
      <xdr:colOff>66675</xdr:colOff>
      <xdr:row>54</xdr:row>
      <xdr:rowOff>142875</xdr:rowOff>
    </xdr:to>
    <xdr:pic>
      <xdr:nvPicPr>
        <xdr:cNvPr id="96263" name="Picture 6" descr="skew_map">
          <a:extLst>
            <a:ext uri="{FF2B5EF4-FFF2-40B4-BE49-F238E27FC236}">
              <a16:creationId xmlns:a16="http://schemas.microsoft.com/office/drawing/2014/main" id="{00000000-0008-0000-0500-0000077801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171450"/>
          <a:ext cx="14697075" cy="9229725"/>
        </a:xfrm>
        <a:prstGeom prst="rect">
          <a:avLst/>
        </a:prstGeom>
        <a:noFill/>
        <a:ln w="9525">
          <a:noFill/>
          <a:miter lim="800000"/>
          <a:headEnd/>
          <a:tailEnd/>
        </a:ln>
      </xdr:spPr>
    </xdr:pic>
    <xdr:clientData/>
  </xdr:twoCellAnchor>
  <xdr:oneCellAnchor>
    <xdr:from>
      <xdr:col>7</xdr:col>
      <xdr:colOff>571500</xdr:colOff>
      <xdr:row>2</xdr:row>
      <xdr:rowOff>57150</xdr:rowOff>
    </xdr:from>
    <xdr:ext cx="702115" cy="218906"/>
    <xdr:sp macro="" textlink="">
      <xdr:nvSpPr>
        <xdr:cNvPr id="111618" name="Text Box 2">
          <a:extLst>
            <a:ext uri="{FF2B5EF4-FFF2-40B4-BE49-F238E27FC236}">
              <a16:creationId xmlns:a16="http://schemas.microsoft.com/office/drawing/2014/main" id="{00000000-0008-0000-0500-000002B40100}"/>
            </a:ext>
          </a:extLst>
        </xdr:cNvPr>
        <xdr:cNvSpPr txBox="1">
          <a:spLocks noChangeArrowheads="1"/>
        </xdr:cNvSpPr>
      </xdr:nvSpPr>
      <xdr:spPr bwMode="auto">
        <a:xfrm>
          <a:off x="4838700" y="400050"/>
          <a:ext cx="702115" cy="218906"/>
        </a:xfrm>
        <a:prstGeom prst="rect">
          <a:avLst/>
        </a:prstGeom>
        <a:solidFill>
          <a:srgbClr val="FFFFFF"/>
        </a:solidFill>
        <a:ln w="9525">
          <a:solidFill>
            <a:srgbClr val="0000FF"/>
          </a:solidFill>
          <a:miter lim="800000"/>
          <a:headEnd/>
          <a:tailEnd/>
        </a:ln>
      </xdr:spPr>
      <xdr:txBody>
        <a:bodyPr wrap="none" lIns="18288" tIns="27432" rIns="0" bIns="0" anchor="t" upright="1">
          <a:spAutoFit/>
        </a:bodyPr>
        <a:lstStyle/>
        <a:p>
          <a:pPr algn="l" rtl="0">
            <a:defRPr sz="1000"/>
          </a:pPr>
          <a:r>
            <a:rPr lang="en-US" sz="1200" b="0" i="0" u="none" strike="noStrike" baseline="0">
              <a:solidFill>
                <a:srgbClr val="0000FF"/>
              </a:solidFill>
              <a:latin typeface="Book Antiqua"/>
            </a:rPr>
            <a:t>Avg skew</a:t>
          </a:r>
        </a:p>
      </xdr:txBody>
    </xdr:sp>
    <xdr:clientData/>
  </xdr:oneCellAnchor>
  <xdr:twoCellAnchor>
    <xdr:from>
      <xdr:col>8</xdr:col>
      <xdr:colOff>95250</xdr:colOff>
      <xdr:row>3</xdr:row>
      <xdr:rowOff>95250</xdr:rowOff>
    </xdr:from>
    <xdr:to>
      <xdr:col>8</xdr:col>
      <xdr:colOff>285750</xdr:colOff>
      <xdr:row>6</xdr:row>
      <xdr:rowOff>28575</xdr:rowOff>
    </xdr:to>
    <xdr:sp macro="" textlink="">
      <xdr:nvSpPr>
        <xdr:cNvPr id="96265" name="Line 3">
          <a:extLst>
            <a:ext uri="{FF2B5EF4-FFF2-40B4-BE49-F238E27FC236}">
              <a16:creationId xmlns:a16="http://schemas.microsoft.com/office/drawing/2014/main" id="{00000000-0008-0000-0500-000009780100}"/>
            </a:ext>
          </a:extLst>
        </xdr:cNvPr>
        <xdr:cNvSpPr>
          <a:spLocks noChangeShapeType="1"/>
        </xdr:cNvSpPr>
      </xdr:nvSpPr>
      <xdr:spPr bwMode="auto">
        <a:xfrm flipH="1">
          <a:off x="4972050" y="609600"/>
          <a:ext cx="190500" cy="447675"/>
        </a:xfrm>
        <a:prstGeom prst="line">
          <a:avLst/>
        </a:prstGeom>
        <a:noFill/>
        <a:ln w="25400">
          <a:solidFill>
            <a:srgbClr val="0000FF"/>
          </a:solidFill>
          <a:round/>
          <a:headEnd/>
          <a:tailEnd type="triangle" w="sm" len="lg"/>
        </a:ln>
      </xdr:spPr>
    </xdr:sp>
    <xdr:clientData/>
  </xdr:twoCellAnchor>
  <xdr:oneCellAnchor>
    <xdr:from>
      <xdr:col>8</xdr:col>
      <xdr:colOff>542925</xdr:colOff>
      <xdr:row>3</xdr:row>
      <xdr:rowOff>161925</xdr:rowOff>
    </xdr:from>
    <xdr:ext cx="697307" cy="410112"/>
    <xdr:sp macro="" textlink="">
      <xdr:nvSpPr>
        <xdr:cNvPr id="111620" name="Text Box 4">
          <a:extLst>
            <a:ext uri="{FF2B5EF4-FFF2-40B4-BE49-F238E27FC236}">
              <a16:creationId xmlns:a16="http://schemas.microsoft.com/office/drawing/2014/main" id="{00000000-0008-0000-0500-000004B40100}"/>
            </a:ext>
          </a:extLst>
        </xdr:cNvPr>
        <xdr:cNvSpPr txBox="1">
          <a:spLocks noChangeArrowheads="1"/>
        </xdr:cNvSpPr>
      </xdr:nvSpPr>
      <xdr:spPr bwMode="auto">
        <a:xfrm>
          <a:off x="5419725" y="676275"/>
          <a:ext cx="697307" cy="410112"/>
        </a:xfrm>
        <a:prstGeom prst="rect">
          <a:avLst/>
        </a:prstGeom>
        <a:solidFill>
          <a:srgbClr val="FFFFFF"/>
        </a:solidFill>
        <a:ln w="9525">
          <a:solidFill>
            <a:srgbClr val="0000FF"/>
          </a:solidFill>
          <a:miter lim="800000"/>
          <a:headEnd/>
          <a:tailEnd/>
        </a:ln>
      </xdr:spPr>
      <xdr:txBody>
        <a:bodyPr wrap="none" lIns="18288" tIns="27432" rIns="0" bIns="0" anchor="t" upright="1">
          <a:spAutoFit/>
        </a:bodyPr>
        <a:lstStyle/>
        <a:p>
          <a:pPr algn="l" rtl="0">
            <a:defRPr sz="1000"/>
          </a:pPr>
          <a:r>
            <a:rPr lang="en-US" sz="1200" b="0" i="0" u="none" strike="noStrike" baseline="0">
              <a:solidFill>
                <a:srgbClr val="0000FF"/>
              </a:solidFill>
              <a:latin typeface="Book Antiqua"/>
            </a:rPr>
            <a:t># stations</a:t>
          </a:r>
        </a:p>
        <a:p>
          <a:pPr algn="l" rtl="0">
            <a:defRPr sz="1000"/>
          </a:pPr>
          <a:r>
            <a:rPr lang="en-US" sz="1200" b="0" i="0" u="none" strike="noStrike" baseline="0">
              <a:solidFill>
                <a:srgbClr val="0000FF"/>
              </a:solidFill>
              <a:latin typeface="Book Antiqua"/>
            </a:rPr>
            <a:t>  included</a:t>
          </a:r>
        </a:p>
      </xdr:txBody>
    </xdr:sp>
    <xdr:clientData/>
  </xdr:oneCellAnchor>
  <xdr:twoCellAnchor>
    <xdr:from>
      <xdr:col>8</xdr:col>
      <xdr:colOff>171450</xdr:colOff>
      <xdr:row>5</xdr:row>
      <xdr:rowOff>133350</xdr:rowOff>
    </xdr:from>
    <xdr:to>
      <xdr:col>8</xdr:col>
      <xdr:colOff>542925</xdr:colOff>
      <xdr:row>7</xdr:row>
      <xdr:rowOff>76200</xdr:rowOff>
    </xdr:to>
    <xdr:sp macro="" textlink="">
      <xdr:nvSpPr>
        <xdr:cNvPr id="96267" name="Line 5">
          <a:extLst>
            <a:ext uri="{FF2B5EF4-FFF2-40B4-BE49-F238E27FC236}">
              <a16:creationId xmlns:a16="http://schemas.microsoft.com/office/drawing/2014/main" id="{00000000-0008-0000-0500-00000B780100}"/>
            </a:ext>
          </a:extLst>
        </xdr:cNvPr>
        <xdr:cNvSpPr>
          <a:spLocks noChangeShapeType="1"/>
        </xdr:cNvSpPr>
      </xdr:nvSpPr>
      <xdr:spPr bwMode="auto">
        <a:xfrm flipH="1">
          <a:off x="5048250" y="990600"/>
          <a:ext cx="371475" cy="285750"/>
        </a:xfrm>
        <a:prstGeom prst="line">
          <a:avLst/>
        </a:prstGeom>
        <a:noFill/>
        <a:ln w="25400">
          <a:solidFill>
            <a:srgbClr val="0000FF"/>
          </a:solidFill>
          <a:round/>
          <a:headEnd/>
          <a:tailEnd type="triangle" w="sm" len="lg"/>
        </a:ln>
      </xdr:spPr>
    </xdr:sp>
    <xdr:clientData/>
  </xdr:twoCellAnchor>
  <xdr:twoCellAnchor editAs="oneCell">
    <xdr:from>
      <xdr:col>9</xdr:col>
      <xdr:colOff>266700</xdr:colOff>
      <xdr:row>0</xdr:row>
      <xdr:rowOff>142875</xdr:rowOff>
    </xdr:from>
    <xdr:to>
      <xdr:col>15</xdr:col>
      <xdr:colOff>495300</xdr:colOff>
      <xdr:row>2</xdr:row>
      <xdr:rowOff>47625</xdr:rowOff>
    </xdr:to>
    <xdr:sp macro="" textlink="">
      <xdr:nvSpPr>
        <xdr:cNvPr id="111623" name="Text Box 7">
          <a:extLst>
            <a:ext uri="{FF2B5EF4-FFF2-40B4-BE49-F238E27FC236}">
              <a16:creationId xmlns:a16="http://schemas.microsoft.com/office/drawing/2014/main" id="{00000000-0008-0000-0500-000007B40100}"/>
            </a:ext>
          </a:extLst>
        </xdr:cNvPr>
        <xdr:cNvSpPr txBox="1">
          <a:spLocks noChangeArrowheads="1"/>
        </xdr:cNvSpPr>
      </xdr:nvSpPr>
      <xdr:spPr bwMode="auto">
        <a:xfrm>
          <a:off x="5753100" y="142875"/>
          <a:ext cx="3886200" cy="247650"/>
        </a:xfrm>
        <a:prstGeom prst="rect">
          <a:avLst/>
        </a:prstGeom>
        <a:solidFill>
          <a:srgbClr val="FFFFFF"/>
        </a:solidFill>
        <a:ln w="9525">
          <a:solidFill>
            <a:srgbClr val="0000FF"/>
          </a:solidFill>
          <a:miter lim="800000"/>
          <a:headEnd/>
          <a:tailEnd/>
        </a:ln>
      </xdr:spPr>
      <xdr:txBody>
        <a:bodyPr vertOverflow="clip" wrap="square" lIns="27432" tIns="27432" rIns="0" bIns="0" anchor="t" upright="1"/>
        <a:lstStyle/>
        <a:p>
          <a:pPr algn="l" rtl="0">
            <a:defRPr sz="1000"/>
          </a:pPr>
          <a:r>
            <a:rPr lang="en-US" sz="1200" b="0" i="0" u="none" strike="noStrike" baseline="0">
              <a:solidFill>
                <a:srgbClr val="0000FF"/>
              </a:solidFill>
              <a:latin typeface="Book Antiqua"/>
            </a:rPr>
            <a:t>In general, read skew from contours (called "isopleths").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1.vml"/><Relationship Id="rId21" Type="http://schemas.openxmlformats.org/officeDocument/2006/relationships/ctrlProp" Target="../ctrlProps/ctrlProp12.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omments" Target="../comments1.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nwis.waterdata.usgs.gov/nwis/peak?state_cd=ar&amp;format=station_list" TargetMode="External"/><Relationship Id="rId1" Type="http://schemas.openxmlformats.org/officeDocument/2006/relationships/hyperlink" Target="http://nwis.waterdata.usgs.gov/nwis/peak?site_no=6329500&amp;agency_cd=USGS&amp;format=rdb" TargetMode="Externa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92"/>
  <sheetViews>
    <sheetView showGridLines="0" workbookViewId="0">
      <pane ySplit="2" topLeftCell="A3" activePane="bottomLeft" state="frozen"/>
      <selection pane="bottomLeft" activeCell="N16" sqref="N16"/>
    </sheetView>
  </sheetViews>
  <sheetFormatPr defaultRowHeight="13.5" x14ac:dyDescent="0.25"/>
  <cols>
    <col min="1" max="1" width="4.140625" customWidth="1"/>
    <col min="2" max="2" width="9.7109375" customWidth="1"/>
  </cols>
  <sheetData>
    <row r="1" spans="2:11" ht="8.25" customHeight="1" x14ac:dyDescent="0.25"/>
    <row r="2" spans="2:11" ht="24.95" customHeight="1" x14ac:dyDescent="0.25">
      <c r="B2" s="34" t="s">
        <v>53</v>
      </c>
      <c r="H2" s="39"/>
      <c r="I2" s="39" t="s">
        <v>142</v>
      </c>
      <c r="K2" s="123" t="s">
        <v>239</v>
      </c>
    </row>
    <row r="4" spans="2:11" ht="21" x14ac:dyDescent="0.35">
      <c r="B4" s="16" t="s">
        <v>54</v>
      </c>
      <c r="C4" s="19" t="s">
        <v>55</v>
      </c>
      <c r="I4" s="17" t="s">
        <v>113</v>
      </c>
    </row>
    <row r="5" spans="2:11" ht="15" customHeight="1" x14ac:dyDescent="0.35">
      <c r="B5" s="16"/>
      <c r="C5" s="18" t="s">
        <v>57</v>
      </c>
      <c r="D5" s="94" t="s">
        <v>236</v>
      </c>
    </row>
    <row r="6" spans="2:11" ht="15" customHeight="1" x14ac:dyDescent="0.25">
      <c r="C6" s="18" t="s">
        <v>57</v>
      </c>
      <c r="D6" s="17" t="s">
        <v>78</v>
      </c>
    </row>
    <row r="7" spans="2:11" ht="15" customHeight="1" x14ac:dyDescent="0.25">
      <c r="C7" s="18" t="s">
        <v>57</v>
      </c>
      <c r="D7" s="94" t="s">
        <v>161</v>
      </c>
    </row>
    <row r="8" spans="2:11" ht="15" customHeight="1" x14ac:dyDescent="0.25">
      <c r="C8" s="18" t="s">
        <v>57</v>
      </c>
      <c r="D8" s="17" t="s">
        <v>56</v>
      </c>
    </row>
    <row r="9" spans="2:11" ht="21" x14ac:dyDescent="0.35">
      <c r="B9" s="16" t="s">
        <v>58</v>
      </c>
      <c r="C9" s="19" t="s">
        <v>117</v>
      </c>
    </row>
    <row r="11" spans="2:11" ht="15" customHeight="1" x14ac:dyDescent="0.25"/>
    <row r="12" spans="2:11" ht="21" x14ac:dyDescent="0.35">
      <c r="B12" s="16" t="s">
        <v>59</v>
      </c>
      <c r="C12" s="19" t="s">
        <v>118</v>
      </c>
    </row>
    <row r="13" spans="2:11" ht="15" customHeight="1" x14ac:dyDescent="0.35">
      <c r="B13" s="16"/>
      <c r="D13" s="10"/>
      <c r="G13" s="10" t="s">
        <v>102</v>
      </c>
    </row>
    <row r="14" spans="2:11" ht="15" x14ac:dyDescent="0.3">
      <c r="B14" s="75"/>
      <c r="D14" s="10"/>
    </row>
    <row r="15" spans="2:11" ht="15" x14ac:dyDescent="0.3">
      <c r="D15" s="10"/>
    </row>
    <row r="17" spans="1:14" ht="21" x14ac:dyDescent="0.35">
      <c r="B17" s="16" t="s">
        <v>70</v>
      </c>
      <c r="C17" s="19" t="s">
        <v>83</v>
      </c>
    </row>
    <row r="18" spans="1:14" ht="21" x14ac:dyDescent="0.35">
      <c r="B18" s="16"/>
      <c r="C18" s="19"/>
      <c r="D18" s="17" t="s">
        <v>84</v>
      </c>
    </row>
    <row r="19" spans="1:14" ht="21" x14ac:dyDescent="0.35">
      <c r="B19" s="16"/>
      <c r="C19" s="19" t="s">
        <v>119</v>
      </c>
    </row>
    <row r="20" spans="1:14" ht="17.25" customHeight="1" x14ac:dyDescent="0.35">
      <c r="B20" s="16"/>
    </row>
    <row r="21" spans="1:14" x14ac:dyDescent="0.25">
      <c r="H21" s="40" t="s">
        <v>79</v>
      </c>
    </row>
    <row r="22" spans="1:14" x14ac:dyDescent="0.25">
      <c r="H22" t="s">
        <v>80</v>
      </c>
    </row>
    <row r="23" spans="1:14" x14ac:dyDescent="0.25">
      <c r="H23" t="s">
        <v>81</v>
      </c>
    </row>
    <row r="24" spans="1:14" x14ac:dyDescent="0.25">
      <c r="H24" t="s">
        <v>82</v>
      </c>
    </row>
    <row r="26" spans="1:14" ht="15" x14ac:dyDescent="0.3">
      <c r="D26" s="6" t="s">
        <v>77</v>
      </c>
      <c r="H26" s="10" t="s">
        <v>114</v>
      </c>
    </row>
    <row r="27" spans="1:14" ht="15" x14ac:dyDescent="0.3">
      <c r="A27" s="1"/>
      <c r="B27" s="1"/>
      <c r="C27" s="1"/>
      <c r="D27" s="1"/>
      <c r="E27" s="1"/>
      <c r="F27" s="1"/>
      <c r="G27" s="1"/>
      <c r="H27" s="73" t="s">
        <v>143</v>
      </c>
      <c r="I27" s="1"/>
      <c r="J27" s="1"/>
      <c r="K27" s="1"/>
      <c r="L27" s="1"/>
      <c r="M27" s="1"/>
      <c r="N27" s="1"/>
    </row>
    <row r="28" spans="1:14" x14ac:dyDescent="0.25">
      <c r="H28" t="s">
        <v>144</v>
      </c>
    </row>
    <row r="30" spans="1:14" ht="16.5" x14ac:dyDescent="0.3">
      <c r="C30" s="19" t="s">
        <v>141</v>
      </c>
    </row>
    <row r="31" spans="1:14" ht="16.5" x14ac:dyDescent="0.3">
      <c r="C31" s="19" t="s">
        <v>162</v>
      </c>
    </row>
    <row r="37" spans="2:10" ht="21" x14ac:dyDescent="0.35">
      <c r="B37" s="16" t="s">
        <v>88</v>
      </c>
      <c r="C37" s="19" t="s">
        <v>105</v>
      </c>
      <c r="H37" s="57" t="s">
        <v>152</v>
      </c>
    </row>
    <row r="38" spans="2:10" x14ac:dyDescent="0.25">
      <c r="H38" t="s">
        <v>113</v>
      </c>
    </row>
    <row r="39" spans="2:10" ht="16.5" x14ac:dyDescent="0.3">
      <c r="C39" s="19" t="s">
        <v>120</v>
      </c>
      <c r="H39" s="10"/>
    </row>
    <row r="40" spans="2:10" ht="16.5" x14ac:dyDescent="0.3">
      <c r="C40" s="19" t="s">
        <v>149</v>
      </c>
      <c r="H40" s="10"/>
    </row>
    <row r="41" spans="2:10" ht="16.5" x14ac:dyDescent="0.3">
      <c r="C41" s="19" t="s">
        <v>109</v>
      </c>
      <c r="H41" s="10"/>
    </row>
    <row r="42" spans="2:10" ht="15" x14ac:dyDescent="0.3">
      <c r="H42" s="10" t="s">
        <v>89</v>
      </c>
      <c r="I42" t="s">
        <v>116</v>
      </c>
    </row>
    <row r="43" spans="2:10" x14ac:dyDescent="0.25">
      <c r="H43" s="40" t="s">
        <v>127</v>
      </c>
    </row>
    <row r="44" spans="2:10" x14ac:dyDescent="0.25">
      <c r="H44" t="s">
        <v>108</v>
      </c>
    </row>
    <row r="45" spans="2:10" x14ac:dyDescent="0.25">
      <c r="H45" t="s">
        <v>106</v>
      </c>
    </row>
    <row r="46" spans="2:10" x14ac:dyDescent="0.25">
      <c r="H46" t="s">
        <v>107</v>
      </c>
    </row>
    <row r="48" spans="2:10" ht="21" x14ac:dyDescent="0.35">
      <c r="B48" s="16" t="s">
        <v>110</v>
      </c>
      <c r="C48" s="19" t="s">
        <v>112</v>
      </c>
      <c r="J48" s="57" t="s">
        <v>145</v>
      </c>
    </row>
    <row r="49" spans="2:10" x14ac:dyDescent="0.25">
      <c r="J49" t="s">
        <v>113</v>
      </c>
    </row>
    <row r="50" spans="2:10" ht="16.5" x14ac:dyDescent="0.3">
      <c r="C50" s="19" t="s">
        <v>123</v>
      </c>
    </row>
    <row r="51" spans="2:10" ht="16.5" x14ac:dyDescent="0.3">
      <c r="C51" s="19" t="s">
        <v>121</v>
      </c>
    </row>
    <row r="52" spans="2:10" ht="16.5" x14ac:dyDescent="0.3">
      <c r="C52" s="19" t="s">
        <v>122</v>
      </c>
    </row>
    <row r="53" spans="2:10" ht="16.5" x14ac:dyDescent="0.3">
      <c r="C53" s="19" t="s">
        <v>126</v>
      </c>
    </row>
    <row r="54" spans="2:10" ht="16.5" x14ac:dyDescent="0.3">
      <c r="C54" s="19" t="s">
        <v>124</v>
      </c>
    </row>
    <row r="55" spans="2:10" ht="16.5" x14ac:dyDescent="0.3">
      <c r="C55" s="19"/>
    </row>
    <row r="56" spans="2:10" ht="15" x14ac:dyDescent="0.3">
      <c r="H56" s="10" t="s">
        <v>89</v>
      </c>
      <c r="I56" t="s">
        <v>125</v>
      </c>
    </row>
    <row r="57" spans="2:10" x14ac:dyDescent="0.25">
      <c r="H57" s="40" t="s">
        <v>91</v>
      </c>
    </row>
    <row r="58" spans="2:10" x14ac:dyDescent="0.25">
      <c r="H58" t="s">
        <v>92</v>
      </c>
    </row>
    <row r="59" spans="2:10" x14ac:dyDescent="0.25">
      <c r="H59" t="s">
        <v>93</v>
      </c>
    </row>
    <row r="60" spans="2:10" x14ac:dyDescent="0.25">
      <c r="H60" s="40" t="s">
        <v>128</v>
      </c>
    </row>
    <row r="62" spans="2:10" ht="21" x14ac:dyDescent="0.35">
      <c r="B62" s="16" t="s">
        <v>111</v>
      </c>
      <c r="C62" s="19" t="s">
        <v>90</v>
      </c>
    </row>
    <row r="64" spans="2:10" ht="15.75" x14ac:dyDescent="0.25">
      <c r="C64" s="17"/>
    </row>
    <row r="65" spans="2:11" ht="15.75" x14ac:dyDescent="0.25">
      <c r="C65" s="17"/>
    </row>
    <row r="66" spans="2:11" ht="15.75" x14ac:dyDescent="0.25">
      <c r="C66" s="17"/>
    </row>
    <row r="67" spans="2:11" ht="16.5" x14ac:dyDescent="0.3">
      <c r="C67" s="19"/>
    </row>
    <row r="68" spans="2:11" ht="16.5" x14ac:dyDescent="0.3">
      <c r="C68" s="19"/>
    </row>
    <row r="69" spans="2:11" ht="21" x14ac:dyDescent="0.35">
      <c r="B69" s="16" t="s">
        <v>130</v>
      </c>
    </row>
    <row r="70" spans="2:11" ht="21" x14ac:dyDescent="0.35">
      <c r="B70" s="16"/>
    </row>
    <row r="71" spans="2:11" ht="16.5" x14ac:dyDescent="0.3">
      <c r="C71" s="19" t="s">
        <v>131</v>
      </c>
      <c r="K71" s="4" t="s">
        <v>139</v>
      </c>
    </row>
    <row r="73" spans="2:11" ht="16.5" x14ac:dyDescent="0.3">
      <c r="C73" s="19" t="s">
        <v>129</v>
      </c>
      <c r="G73" s="19" t="s">
        <v>140</v>
      </c>
      <c r="K73" s="19" t="s">
        <v>132</v>
      </c>
    </row>
    <row r="83" spans="3:12" ht="16.5" x14ac:dyDescent="0.3">
      <c r="C83" s="19" t="s">
        <v>136</v>
      </c>
    </row>
    <row r="84" spans="3:12" x14ac:dyDescent="0.25">
      <c r="D84" t="s">
        <v>138</v>
      </c>
      <c r="L84" s="4" t="s">
        <v>139</v>
      </c>
    </row>
    <row r="85" spans="3:12" x14ac:dyDescent="0.25">
      <c r="D85" t="s">
        <v>137</v>
      </c>
    </row>
    <row r="91" spans="3:12" x14ac:dyDescent="0.25">
      <c r="D91" s="75" t="s">
        <v>158</v>
      </c>
    </row>
    <row r="92" spans="3:12" x14ac:dyDescent="0.25">
      <c r="E92" s="75" t="s">
        <v>157</v>
      </c>
    </row>
  </sheetData>
  <phoneticPr fontId="0"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90136" r:id="rId4">
          <objectPr defaultSize="0" autoPict="0" r:id="rId5">
            <anchor moveWithCells="1">
              <from>
                <xdr:col>2</xdr:col>
                <xdr:colOff>38100</xdr:colOff>
                <xdr:row>73</xdr:row>
                <xdr:rowOff>57150</xdr:rowOff>
              </from>
              <to>
                <xdr:col>3</xdr:col>
                <xdr:colOff>133350</xdr:colOff>
                <xdr:row>76</xdr:row>
                <xdr:rowOff>66675</xdr:rowOff>
              </to>
            </anchor>
          </objectPr>
        </oleObject>
      </mc:Choice>
      <mc:Fallback>
        <oleObject progId="Equation.DSMT4" shapeId="90136" r:id="rId4"/>
      </mc:Fallback>
    </mc:AlternateContent>
    <mc:AlternateContent xmlns:mc="http://schemas.openxmlformats.org/markup-compatibility/2006">
      <mc:Choice Requires="x14">
        <oleObject progId="Equation.DSMT4" shapeId="90137" r:id="rId6">
          <objectPr defaultSize="0" autoPict="0" r:id="rId7">
            <anchor moveWithCells="1">
              <from>
                <xdr:col>10</xdr:col>
                <xdr:colOff>95250</xdr:colOff>
                <xdr:row>73</xdr:row>
                <xdr:rowOff>47625</xdr:rowOff>
              </from>
              <to>
                <xdr:col>10</xdr:col>
                <xdr:colOff>438150</xdr:colOff>
                <xdr:row>76</xdr:row>
                <xdr:rowOff>57150</xdr:rowOff>
              </to>
            </anchor>
          </objectPr>
        </oleObject>
      </mc:Choice>
      <mc:Fallback>
        <oleObject progId="Equation.DSMT4" shapeId="90137" r:id="rId6"/>
      </mc:Fallback>
    </mc:AlternateContent>
    <mc:AlternateContent xmlns:mc="http://schemas.openxmlformats.org/markup-compatibility/2006">
      <mc:Choice Requires="x14">
        <oleObject progId="Equation.DSMT4" shapeId="90143" r:id="rId8">
          <objectPr defaultSize="0" autoPict="0" r:id="rId9">
            <anchor moveWithCells="1">
              <from>
                <xdr:col>6</xdr:col>
                <xdr:colOff>38100</xdr:colOff>
                <xdr:row>73</xdr:row>
                <xdr:rowOff>47625</xdr:rowOff>
              </from>
              <to>
                <xdr:col>7</xdr:col>
                <xdr:colOff>47625</xdr:colOff>
                <xdr:row>76</xdr:row>
                <xdr:rowOff>57150</xdr:rowOff>
              </to>
            </anchor>
          </objectPr>
        </oleObject>
      </mc:Choice>
      <mc:Fallback>
        <oleObject progId="Equation.DSMT4" shapeId="90143" r:id="rId8"/>
      </mc:Fallback>
    </mc:AlternateContent>
  </oleObjects>
  <mc:AlternateContent xmlns:mc="http://schemas.openxmlformats.org/markup-compatibility/2006">
    <mc:Choice Requires="x14">
      <controls>
        <mc:AlternateContent xmlns:mc="http://schemas.openxmlformats.org/markup-compatibility/2006">
          <mc:Choice Requires="x14">
            <control shapeId="90113" r:id="rId10" name="Button 1">
              <controlPr defaultSize="0" print="0" autoFill="0" autoPict="0" macro="[0]!Stats">
                <anchor moveWithCells="1" sizeWithCells="1">
                  <from>
                    <xdr:col>7</xdr:col>
                    <xdr:colOff>180975</xdr:colOff>
                    <xdr:row>8</xdr:row>
                    <xdr:rowOff>85725</xdr:rowOff>
                  </from>
                  <to>
                    <xdr:col>10</xdr:col>
                    <xdr:colOff>152400</xdr:colOff>
                    <xdr:row>10</xdr:row>
                    <xdr:rowOff>114300</xdr:rowOff>
                  </to>
                </anchor>
              </controlPr>
            </control>
          </mc:Choice>
        </mc:AlternateContent>
        <mc:AlternateContent xmlns:mc="http://schemas.openxmlformats.org/markup-compatibility/2006">
          <mc:Choice Requires="x14">
            <control shapeId="90114" r:id="rId11" name="Button 2">
              <controlPr defaultSize="0" print="0" autoFill="0" autoPict="0" macro="[0]!getKvalues">
                <anchor moveWithCells="1" sizeWithCells="1">
                  <from>
                    <xdr:col>3</xdr:col>
                    <xdr:colOff>19050</xdr:colOff>
                    <xdr:row>20</xdr:row>
                    <xdr:rowOff>0</xdr:rowOff>
                  </from>
                  <to>
                    <xdr:col>5</xdr:col>
                    <xdr:colOff>457200</xdr:colOff>
                    <xdr:row>22</xdr:row>
                    <xdr:rowOff>104775</xdr:rowOff>
                  </to>
                </anchor>
              </controlPr>
            </control>
          </mc:Choice>
        </mc:AlternateContent>
        <mc:AlternateContent xmlns:mc="http://schemas.openxmlformats.org/markup-compatibility/2006">
          <mc:Choice Requires="x14">
            <control shapeId="90124" r:id="rId12" name="Button 12">
              <controlPr defaultSize="0" print="0" autoFill="0" autoPict="0" macro="[0]!FileSave">
                <anchor moveWithCells="1" sizeWithCells="1">
                  <from>
                    <xdr:col>3</xdr:col>
                    <xdr:colOff>9525</xdr:colOff>
                    <xdr:row>63</xdr:row>
                    <xdr:rowOff>76200</xdr:rowOff>
                  </from>
                  <to>
                    <xdr:col>5</xdr:col>
                    <xdr:colOff>447675</xdr:colOff>
                    <xdr:row>65</xdr:row>
                    <xdr:rowOff>142875</xdr:rowOff>
                  </to>
                </anchor>
              </controlPr>
            </control>
          </mc:Choice>
        </mc:AlternateContent>
        <mc:AlternateContent xmlns:mc="http://schemas.openxmlformats.org/markup-compatibility/2006">
          <mc:Choice Requires="x14">
            <control shapeId="90125" r:id="rId13" name="Button 13">
              <controlPr defaultSize="0" print="0" autoFill="0" autoPict="0" macro="[0]!RemoveOutliers">
                <anchor moveWithCells="1" sizeWithCells="1">
                  <from>
                    <xdr:col>7</xdr:col>
                    <xdr:colOff>190500</xdr:colOff>
                    <xdr:row>13</xdr:row>
                    <xdr:rowOff>19050</xdr:rowOff>
                  </from>
                  <to>
                    <xdr:col>10</xdr:col>
                    <xdr:colOff>161925</xdr:colOff>
                    <xdr:row>15</xdr:row>
                    <xdr:rowOff>95250</xdr:rowOff>
                  </to>
                </anchor>
              </controlPr>
            </control>
          </mc:Choice>
        </mc:AlternateContent>
        <mc:AlternateContent xmlns:mc="http://schemas.openxmlformats.org/markup-compatibility/2006">
          <mc:Choice Requires="x14">
            <control shapeId="90126" r:id="rId14" name="Button 14">
              <controlPr defaultSize="0" print="0" autoFill="0" autoPict="0" macro="[0]!test_other_skews">
                <anchor moveWithCells="1" sizeWithCells="1">
                  <from>
                    <xdr:col>13</xdr:col>
                    <xdr:colOff>571500</xdr:colOff>
                    <xdr:row>24</xdr:row>
                    <xdr:rowOff>95250</xdr:rowOff>
                  </from>
                  <to>
                    <xdr:col>18</xdr:col>
                    <xdr:colOff>0</xdr:colOff>
                    <xdr:row>27</xdr:row>
                    <xdr:rowOff>66675</xdr:rowOff>
                  </to>
                </anchor>
              </controlPr>
            </control>
          </mc:Choice>
        </mc:AlternateContent>
        <mc:AlternateContent xmlns:mc="http://schemas.openxmlformats.org/markup-compatibility/2006">
          <mc:Choice Requires="x14">
            <control shapeId="90127" r:id="rId15" name="Button 15">
              <controlPr defaultSize="0" print="0" autoFill="0" autoPict="0" macro="[0]!Historic_Adj">
                <anchor moveWithCells="1" sizeWithCells="1">
                  <from>
                    <xdr:col>3</xdr:col>
                    <xdr:colOff>9525</xdr:colOff>
                    <xdr:row>42</xdr:row>
                    <xdr:rowOff>9525</xdr:rowOff>
                  </from>
                  <to>
                    <xdr:col>5</xdr:col>
                    <xdr:colOff>447675</xdr:colOff>
                    <xdr:row>44</xdr:row>
                    <xdr:rowOff>114300</xdr:rowOff>
                  </to>
                </anchor>
              </controlPr>
            </control>
          </mc:Choice>
        </mc:AlternateContent>
        <mc:AlternateContent xmlns:mc="http://schemas.openxmlformats.org/markup-compatibility/2006">
          <mc:Choice Requires="x14">
            <control shapeId="90130" r:id="rId16" name="Button 18">
              <controlPr defaultSize="0" print="0" autoFill="0" autoPict="0" macro="[0]!Conditional_Prob">
                <anchor moveWithCells="1" sizeWithCells="1">
                  <from>
                    <xdr:col>2</xdr:col>
                    <xdr:colOff>171450</xdr:colOff>
                    <xdr:row>55</xdr:row>
                    <xdr:rowOff>38100</xdr:rowOff>
                  </from>
                  <to>
                    <xdr:col>5</xdr:col>
                    <xdr:colOff>476250</xdr:colOff>
                    <xdr:row>58</xdr:row>
                    <xdr:rowOff>123825</xdr:rowOff>
                  </to>
                </anchor>
              </controlPr>
            </control>
          </mc:Choice>
        </mc:AlternateContent>
        <mc:AlternateContent xmlns:mc="http://schemas.openxmlformats.org/markup-compatibility/2006">
          <mc:Choice Requires="x14">
            <control shapeId="90138" r:id="rId17" name="Button 26">
              <controlPr defaultSize="0" print="0" autoFill="0" autoPict="0" macro="[0]!Gringort">
                <anchor moveWithCells="1" sizeWithCells="1">
                  <from>
                    <xdr:col>1</xdr:col>
                    <xdr:colOff>504825</xdr:colOff>
                    <xdr:row>77</xdr:row>
                    <xdr:rowOff>9525</xdr:rowOff>
                  </from>
                  <to>
                    <xdr:col>5</xdr:col>
                    <xdr:colOff>0</xdr:colOff>
                    <xdr:row>79</xdr:row>
                    <xdr:rowOff>123825</xdr:rowOff>
                  </to>
                </anchor>
              </controlPr>
            </control>
          </mc:Choice>
        </mc:AlternateContent>
        <mc:AlternateContent xmlns:mc="http://schemas.openxmlformats.org/markup-compatibility/2006">
          <mc:Choice Requires="x14">
            <control shapeId="90139" r:id="rId18" name="Button 27">
              <controlPr defaultSize="0" print="0" autoFill="0" autoPict="0" macro="[0]!_xludf.Weibull">
                <anchor moveWithCells="1" sizeWithCells="1">
                  <from>
                    <xdr:col>10</xdr:col>
                    <xdr:colOff>57150</xdr:colOff>
                    <xdr:row>77</xdr:row>
                    <xdr:rowOff>0</xdr:rowOff>
                  </from>
                  <to>
                    <xdr:col>13</xdr:col>
                    <xdr:colOff>66675</xdr:colOff>
                    <xdr:row>79</xdr:row>
                    <xdr:rowOff>114300</xdr:rowOff>
                  </to>
                </anchor>
              </controlPr>
            </control>
          </mc:Choice>
        </mc:AlternateContent>
        <mc:AlternateContent xmlns:mc="http://schemas.openxmlformats.org/markup-compatibility/2006">
          <mc:Choice Requires="x14">
            <control shapeId="90140" r:id="rId19" name="Button 28">
              <controlPr defaultSize="0" print="0" autoFill="0" autoPict="0" macro="[0]!ExpectedProb">
                <anchor moveWithCells="1" sizeWithCells="1">
                  <from>
                    <xdr:col>4</xdr:col>
                    <xdr:colOff>19050</xdr:colOff>
                    <xdr:row>86</xdr:row>
                    <xdr:rowOff>9525</xdr:rowOff>
                  </from>
                  <to>
                    <xdr:col>10</xdr:col>
                    <xdr:colOff>361950</xdr:colOff>
                    <xdr:row>88</xdr:row>
                    <xdr:rowOff>123825</xdr:rowOff>
                  </to>
                </anchor>
              </controlPr>
            </control>
          </mc:Choice>
        </mc:AlternateContent>
        <mc:AlternateContent xmlns:mc="http://schemas.openxmlformats.org/markup-compatibility/2006">
          <mc:Choice Requires="x14">
            <control shapeId="90144" r:id="rId20" name="Button 32">
              <controlPr defaultSize="0" print="0" autoFill="0" autoPict="0" macro="[0]!Cunnane">
                <anchor moveWithCells="1" sizeWithCells="1">
                  <from>
                    <xdr:col>6</xdr:col>
                    <xdr:colOff>19050</xdr:colOff>
                    <xdr:row>77</xdr:row>
                    <xdr:rowOff>9525</xdr:rowOff>
                  </from>
                  <to>
                    <xdr:col>9</xdr:col>
                    <xdr:colOff>28575</xdr:colOff>
                    <xdr:row>79</xdr:row>
                    <xdr:rowOff>123825</xdr:rowOff>
                  </to>
                </anchor>
              </controlPr>
            </control>
          </mc:Choice>
        </mc:AlternateContent>
        <mc:AlternateContent xmlns:mc="http://schemas.openxmlformats.org/markup-compatibility/2006">
          <mc:Choice Requires="x14">
            <control shapeId="90145" r:id="rId21" name="Button 33">
              <controlPr defaultSize="0" print="0" autoFill="0" autoPict="0" macro="[0]!curveInterp">
                <anchor moveWithCells="1" sizeWithCells="1">
                  <from>
                    <xdr:col>3</xdr:col>
                    <xdr:colOff>323850</xdr:colOff>
                    <xdr:row>31</xdr:row>
                    <xdr:rowOff>66675</xdr:rowOff>
                  </from>
                  <to>
                    <xdr:col>7</xdr:col>
                    <xdr:colOff>85725</xdr:colOff>
                    <xdr:row>34</xdr:row>
                    <xdr:rowOff>66675</xdr:rowOff>
                  </to>
                </anchor>
              </controlPr>
            </control>
          </mc:Choice>
        </mc:AlternateContent>
        <mc:AlternateContent xmlns:mc="http://schemas.openxmlformats.org/markup-compatibility/2006">
          <mc:Choice Requires="x14">
            <control shapeId="90146" r:id="rId22" name="Button 34">
              <controlPr defaultSize="0" print="0" autoFill="0" autoPict="0" macro="[0]!reScaleY">
                <anchor moveWithCells="1" sizeWithCells="1">
                  <from>
                    <xdr:col>11</xdr:col>
                    <xdr:colOff>390525</xdr:colOff>
                    <xdr:row>31</xdr:row>
                    <xdr:rowOff>57150</xdr:rowOff>
                  </from>
                  <to>
                    <xdr:col>15</xdr:col>
                    <xdr:colOff>142875</xdr:colOff>
                    <xdr:row>34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Q187"/>
  <sheetViews>
    <sheetView workbookViewId="0">
      <selection activeCell="A17" sqref="A17"/>
    </sheetView>
  </sheetViews>
  <sheetFormatPr defaultRowHeight="13.5" x14ac:dyDescent="0.25"/>
  <cols>
    <col min="2" max="2" width="6.7109375" customWidth="1"/>
    <col min="3" max="3" width="9" bestFit="1" customWidth="1"/>
    <col min="4" max="4" width="11.28515625" bestFit="1" customWidth="1"/>
    <col min="5" max="5" width="14.7109375" customWidth="1"/>
    <col min="6" max="6" width="9" customWidth="1"/>
    <col min="7" max="7" width="11.28515625" customWidth="1"/>
    <col min="8" max="8" width="8.28515625" customWidth="1"/>
    <col min="9" max="9" width="8.140625" customWidth="1"/>
    <col min="10" max="10" width="8" customWidth="1"/>
    <col min="11" max="11" width="7.7109375" customWidth="1"/>
    <col min="12" max="12" width="10.7109375" bestFit="1" customWidth="1"/>
    <col min="13" max="13" width="11.7109375" customWidth="1"/>
    <col min="14" max="14" width="5.7109375" customWidth="1"/>
    <col min="15" max="15" width="6.28515625" customWidth="1"/>
    <col min="16" max="16" width="10.7109375" bestFit="1" customWidth="1"/>
    <col min="17" max="17" width="13.7109375" bestFit="1" customWidth="1"/>
  </cols>
  <sheetData>
    <row r="1" spans="1:3" x14ac:dyDescent="0.25">
      <c r="A1" s="75"/>
    </row>
    <row r="3" spans="1:3" ht="18.75" x14ac:dyDescent="0.3">
      <c r="B3" s="116" t="s">
        <v>232</v>
      </c>
      <c r="C3" s="116"/>
    </row>
    <row r="9" spans="1:3" ht="18.75" x14ac:dyDescent="0.3">
      <c r="B9" s="116" t="s">
        <v>234</v>
      </c>
    </row>
    <row r="10" spans="1:3" hidden="1" x14ac:dyDescent="0.25">
      <c r="B10" s="117" t="s">
        <v>237</v>
      </c>
    </row>
    <row r="11" spans="1:3" ht="18.75" x14ac:dyDescent="0.3">
      <c r="C11" s="116" t="s">
        <v>233</v>
      </c>
    </row>
    <row r="15" spans="1:3" x14ac:dyDescent="0.25">
      <c r="B15" s="117" t="s">
        <v>254</v>
      </c>
    </row>
    <row r="17" spans="5:5" x14ac:dyDescent="0.25">
      <c r="E17" s="120" t="s">
        <v>235</v>
      </c>
    </row>
    <row r="18" spans="5:5" x14ac:dyDescent="0.25">
      <c r="E18" s="75" t="s">
        <v>166</v>
      </c>
    </row>
    <row r="19" spans="5:5" x14ac:dyDescent="0.25">
      <c r="E19" t="s">
        <v>167</v>
      </c>
    </row>
    <row r="20" spans="5:5" x14ac:dyDescent="0.25">
      <c r="E20" t="s">
        <v>168</v>
      </c>
    </row>
    <row r="21" spans="5:5" x14ac:dyDescent="0.25">
      <c r="E21" t="s">
        <v>255</v>
      </c>
    </row>
    <row r="22" spans="5:5" x14ac:dyDescent="0.25">
      <c r="E22" t="s">
        <v>166</v>
      </c>
    </row>
    <row r="23" spans="5:5" x14ac:dyDescent="0.25">
      <c r="E23" t="s">
        <v>240</v>
      </c>
    </row>
    <row r="24" spans="5:5" x14ac:dyDescent="0.25">
      <c r="E24" t="s">
        <v>241</v>
      </c>
    </row>
    <row r="25" spans="5:5" x14ac:dyDescent="0.25">
      <c r="E25" t="s">
        <v>242</v>
      </c>
    </row>
    <row r="26" spans="5:5" x14ac:dyDescent="0.25">
      <c r="E26" t="s">
        <v>243</v>
      </c>
    </row>
    <row r="27" spans="5:5" x14ac:dyDescent="0.25">
      <c r="E27" t="s">
        <v>244</v>
      </c>
    </row>
    <row r="28" spans="5:5" x14ac:dyDescent="0.25">
      <c r="E28" t="s">
        <v>245</v>
      </c>
    </row>
    <row r="29" spans="5:5" x14ac:dyDescent="0.25">
      <c r="E29" t="s">
        <v>166</v>
      </c>
    </row>
    <row r="30" spans="5:5" x14ac:dyDescent="0.25">
      <c r="E30" t="s">
        <v>169</v>
      </c>
    </row>
    <row r="31" spans="5:5" x14ac:dyDescent="0.25">
      <c r="E31" t="s">
        <v>170</v>
      </c>
    </row>
    <row r="32" spans="5:5" x14ac:dyDescent="0.25">
      <c r="E32" t="s">
        <v>171</v>
      </c>
    </row>
    <row r="33" spans="5:5" x14ac:dyDescent="0.25">
      <c r="E33" t="s">
        <v>166</v>
      </c>
    </row>
    <row r="34" spans="5:5" x14ac:dyDescent="0.25">
      <c r="E34" t="s">
        <v>172</v>
      </c>
    </row>
    <row r="35" spans="5:5" x14ac:dyDescent="0.25">
      <c r="E35" t="s">
        <v>166</v>
      </c>
    </row>
    <row r="36" spans="5:5" x14ac:dyDescent="0.25">
      <c r="E36" t="s">
        <v>173</v>
      </c>
    </row>
    <row r="37" spans="5:5" x14ac:dyDescent="0.25">
      <c r="E37" t="s">
        <v>174</v>
      </c>
    </row>
    <row r="38" spans="5:5" x14ac:dyDescent="0.25">
      <c r="E38" t="s">
        <v>175</v>
      </c>
    </row>
    <row r="39" spans="5:5" x14ac:dyDescent="0.25">
      <c r="E39" t="s">
        <v>176</v>
      </c>
    </row>
    <row r="40" spans="5:5" x14ac:dyDescent="0.25">
      <c r="E40" t="s">
        <v>177</v>
      </c>
    </row>
    <row r="41" spans="5:5" x14ac:dyDescent="0.25">
      <c r="E41" t="s">
        <v>178</v>
      </c>
    </row>
    <row r="42" spans="5:5" x14ac:dyDescent="0.25">
      <c r="E42" t="s">
        <v>179</v>
      </c>
    </row>
    <row r="43" spans="5:5" x14ac:dyDescent="0.25">
      <c r="E43" t="s">
        <v>180</v>
      </c>
    </row>
    <row r="44" spans="5:5" x14ac:dyDescent="0.25">
      <c r="E44" t="s">
        <v>181</v>
      </c>
    </row>
    <row r="45" spans="5:5" x14ac:dyDescent="0.25">
      <c r="E45" t="s">
        <v>182</v>
      </c>
    </row>
    <row r="46" spans="5:5" x14ac:dyDescent="0.25">
      <c r="E46" t="s">
        <v>183</v>
      </c>
    </row>
    <row r="47" spans="5:5" x14ac:dyDescent="0.25">
      <c r="E47" t="s">
        <v>184</v>
      </c>
    </row>
    <row r="48" spans="5:5" x14ac:dyDescent="0.25">
      <c r="E48" t="s">
        <v>185</v>
      </c>
    </row>
    <row r="49" spans="5:5" x14ac:dyDescent="0.25">
      <c r="E49" t="s">
        <v>166</v>
      </c>
    </row>
    <row r="50" spans="5:5" x14ac:dyDescent="0.25">
      <c r="E50" s="75" t="s">
        <v>186</v>
      </c>
    </row>
    <row r="51" spans="5:5" x14ac:dyDescent="0.25">
      <c r="E51" t="s">
        <v>258</v>
      </c>
    </row>
    <row r="52" spans="5:5" x14ac:dyDescent="0.25">
      <c r="E52" t="s">
        <v>166</v>
      </c>
    </row>
    <row r="53" spans="5:5" x14ac:dyDescent="0.25">
      <c r="E53" s="75" t="s">
        <v>187</v>
      </c>
    </row>
    <row r="54" spans="5:5" x14ac:dyDescent="0.25">
      <c r="E54" t="s">
        <v>188</v>
      </c>
    </row>
    <row r="55" spans="5:5" x14ac:dyDescent="0.25">
      <c r="E55" t="s">
        <v>189</v>
      </c>
    </row>
    <row r="56" spans="5:5" x14ac:dyDescent="0.25">
      <c r="E56" t="s">
        <v>190</v>
      </c>
    </row>
    <row r="57" spans="5:5" x14ac:dyDescent="0.25">
      <c r="E57" t="s">
        <v>191</v>
      </c>
    </row>
    <row r="58" spans="5:5" x14ac:dyDescent="0.25">
      <c r="E58" t="s">
        <v>192</v>
      </c>
    </row>
    <row r="59" spans="5:5" x14ac:dyDescent="0.25">
      <c r="E59" t="s">
        <v>193</v>
      </c>
    </row>
    <row r="60" spans="5:5" x14ac:dyDescent="0.25">
      <c r="E60" t="s">
        <v>194</v>
      </c>
    </row>
    <row r="61" spans="5:5" x14ac:dyDescent="0.25">
      <c r="E61" t="s">
        <v>195</v>
      </c>
    </row>
    <row r="62" spans="5:5" x14ac:dyDescent="0.25">
      <c r="E62" t="s">
        <v>196</v>
      </c>
    </row>
    <row r="63" spans="5:5" x14ac:dyDescent="0.25">
      <c r="E63" t="s">
        <v>197</v>
      </c>
    </row>
    <row r="64" spans="5:5" x14ac:dyDescent="0.25">
      <c r="E64" t="s">
        <v>198</v>
      </c>
    </row>
    <row r="65" spans="5:5" x14ac:dyDescent="0.25">
      <c r="E65" t="s">
        <v>199</v>
      </c>
    </row>
    <row r="66" spans="5:5" x14ac:dyDescent="0.25">
      <c r="E66" t="s">
        <v>200</v>
      </c>
    </row>
    <row r="67" spans="5:5" x14ac:dyDescent="0.25">
      <c r="E67" t="s">
        <v>246</v>
      </c>
    </row>
    <row r="68" spans="5:5" x14ac:dyDescent="0.25">
      <c r="E68" t="s">
        <v>247</v>
      </c>
    </row>
    <row r="69" spans="5:5" x14ac:dyDescent="0.25">
      <c r="E69" t="s">
        <v>201</v>
      </c>
    </row>
    <row r="70" spans="5:5" x14ac:dyDescent="0.25">
      <c r="E70" t="s">
        <v>202</v>
      </c>
    </row>
    <row r="71" spans="5:5" x14ac:dyDescent="0.25">
      <c r="E71" t="s">
        <v>248</v>
      </c>
    </row>
    <row r="72" spans="5:5" x14ac:dyDescent="0.25">
      <c r="E72" t="s">
        <v>249</v>
      </c>
    </row>
    <row r="73" spans="5:5" x14ac:dyDescent="0.25">
      <c r="E73" t="s">
        <v>250</v>
      </c>
    </row>
    <row r="74" spans="5:5" x14ac:dyDescent="0.25">
      <c r="E74" t="s">
        <v>166</v>
      </c>
    </row>
    <row r="75" spans="5:5" x14ac:dyDescent="0.25">
      <c r="E75" t="s">
        <v>203</v>
      </c>
    </row>
    <row r="76" spans="5:5" x14ac:dyDescent="0.25">
      <c r="E76" t="s">
        <v>204</v>
      </c>
    </row>
    <row r="77" spans="5:5" x14ac:dyDescent="0.25">
      <c r="E77" t="s">
        <v>205</v>
      </c>
    </row>
    <row r="78" spans="5:5" x14ac:dyDescent="0.25">
      <c r="E78" t="s">
        <v>206</v>
      </c>
    </row>
    <row r="79" spans="5:5" x14ac:dyDescent="0.25">
      <c r="E79" t="s">
        <v>207</v>
      </c>
    </row>
    <row r="80" spans="5:5" x14ac:dyDescent="0.25">
      <c r="E80" t="s">
        <v>208</v>
      </c>
    </row>
    <row r="81" spans="4:17" x14ac:dyDescent="0.25">
      <c r="E81" t="s">
        <v>209</v>
      </c>
    </row>
    <row r="82" spans="4:17" x14ac:dyDescent="0.25">
      <c r="E82" t="s">
        <v>251</v>
      </c>
    </row>
    <row r="83" spans="4:17" x14ac:dyDescent="0.25">
      <c r="E83" t="s">
        <v>252</v>
      </c>
    </row>
    <row r="84" spans="4:17" x14ac:dyDescent="0.25">
      <c r="E84" t="s">
        <v>246</v>
      </c>
    </row>
    <row r="85" spans="4:17" x14ac:dyDescent="0.25">
      <c r="E85" t="s">
        <v>247</v>
      </c>
    </row>
    <row r="86" spans="4:17" x14ac:dyDescent="0.25">
      <c r="E86" t="s">
        <v>248</v>
      </c>
      <c r="G86" s="118"/>
      <c r="H86" s="119"/>
    </row>
    <row r="87" spans="4:17" x14ac:dyDescent="0.25">
      <c r="E87" t="s">
        <v>250</v>
      </c>
      <c r="G87" s="118"/>
      <c r="H87" s="119"/>
    </row>
    <row r="88" spans="4:17" x14ac:dyDescent="0.25">
      <c r="E88" t="s">
        <v>166</v>
      </c>
      <c r="G88" s="118"/>
      <c r="H88" s="119"/>
    </row>
    <row r="89" spans="4:17" x14ac:dyDescent="0.25">
      <c r="E89" t="s">
        <v>166</v>
      </c>
      <c r="G89" s="118"/>
      <c r="H89" s="119"/>
    </row>
    <row r="90" spans="4:17" x14ac:dyDescent="0.25">
      <c r="E90" t="s">
        <v>210</v>
      </c>
      <c r="F90" t="s">
        <v>211</v>
      </c>
      <c r="G90" s="118" t="s">
        <v>212</v>
      </c>
      <c r="H90" s="119" t="s">
        <v>213</v>
      </c>
      <c r="I90" t="s">
        <v>214</v>
      </c>
      <c r="J90" t="s">
        <v>215</v>
      </c>
      <c r="K90" t="s">
        <v>216</v>
      </c>
      <c r="L90" t="s">
        <v>217</v>
      </c>
      <c r="M90" t="s">
        <v>218</v>
      </c>
      <c r="N90" t="s">
        <v>219</v>
      </c>
      <c r="O90" t="s">
        <v>220</v>
      </c>
      <c r="P90" t="s">
        <v>221</v>
      </c>
      <c r="Q90" t="s">
        <v>222</v>
      </c>
    </row>
    <row r="91" spans="4:17" x14ac:dyDescent="0.25">
      <c r="E91" t="s">
        <v>223</v>
      </c>
      <c r="F91" t="s">
        <v>224</v>
      </c>
      <c r="G91" s="118" t="s">
        <v>225</v>
      </c>
      <c r="H91" s="119" t="s">
        <v>226</v>
      </c>
      <c r="I91" t="s">
        <v>227</v>
      </c>
      <c r="J91" t="s">
        <v>253</v>
      </c>
      <c r="K91" t="s">
        <v>227</v>
      </c>
      <c r="L91" t="s">
        <v>228</v>
      </c>
      <c r="M91" t="s">
        <v>229</v>
      </c>
      <c r="N91" t="s">
        <v>225</v>
      </c>
      <c r="O91" t="s">
        <v>226</v>
      </c>
      <c r="P91" t="s">
        <v>227</v>
      </c>
      <c r="Q91" t="s">
        <v>228</v>
      </c>
    </row>
    <row r="92" spans="4:17" x14ac:dyDescent="0.25">
      <c r="D92" s="118"/>
      <c r="E92" s="118" t="s">
        <v>230</v>
      </c>
      <c r="F92">
        <v>4027000</v>
      </c>
      <c r="G92" s="118">
        <v>5615</v>
      </c>
      <c r="I92">
        <v>3900</v>
      </c>
    </row>
    <row r="93" spans="4:17" x14ac:dyDescent="0.25">
      <c r="D93" s="118"/>
      <c r="E93" s="118" t="s">
        <v>230</v>
      </c>
      <c r="F93">
        <v>4027000</v>
      </c>
      <c r="G93" s="118">
        <v>5957</v>
      </c>
      <c r="I93">
        <v>12200</v>
      </c>
    </row>
    <row r="94" spans="4:17" x14ac:dyDescent="0.25">
      <c r="D94" s="118"/>
      <c r="E94" s="118" t="s">
        <v>230</v>
      </c>
      <c r="F94">
        <v>4027000</v>
      </c>
      <c r="G94" s="118">
        <v>6321</v>
      </c>
      <c r="I94">
        <v>4060</v>
      </c>
    </row>
    <row r="95" spans="4:17" x14ac:dyDescent="0.25">
      <c r="D95" s="118"/>
      <c r="E95" s="118" t="s">
        <v>230</v>
      </c>
      <c r="F95">
        <v>4027000</v>
      </c>
      <c r="G95" s="118">
        <v>6727</v>
      </c>
      <c r="I95">
        <v>8590</v>
      </c>
    </row>
    <row r="96" spans="4:17" x14ac:dyDescent="0.25">
      <c r="D96" s="118"/>
      <c r="E96" s="118" t="s">
        <v>230</v>
      </c>
      <c r="F96">
        <v>4027000</v>
      </c>
      <c r="G96" s="118">
        <v>7040</v>
      </c>
      <c r="I96">
        <v>6680</v>
      </c>
    </row>
    <row r="97" spans="4:14" x14ac:dyDescent="0.25">
      <c r="D97" s="118"/>
      <c r="E97" s="118" t="s">
        <v>230</v>
      </c>
      <c r="F97">
        <v>4027000</v>
      </c>
      <c r="G97" s="118">
        <v>7389</v>
      </c>
      <c r="I97">
        <v>8230</v>
      </c>
    </row>
    <row r="98" spans="4:14" x14ac:dyDescent="0.25">
      <c r="D98" s="118"/>
      <c r="E98" s="118" t="s">
        <v>230</v>
      </c>
      <c r="F98">
        <v>4027000</v>
      </c>
      <c r="G98" s="118">
        <v>7789</v>
      </c>
      <c r="I98">
        <v>8010</v>
      </c>
    </row>
    <row r="99" spans="4:14" x14ac:dyDescent="0.25">
      <c r="D99" s="118"/>
      <c r="E99" s="118" t="s">
        <v>230</v>
      </c>
      <c r="F99">
        <v>4027000</v>
      </c>
      <c r="G99" s="118">
        <v>18083</v>
      </c>
      <c r="I99">
        <v>16500</v>
      </c>
      <c r="K99">
        <v>17.3</v>
      </c>
    </row>
    <row r="100" spans="4:14" x14ac:dyDescent="0.25">
      <c r="D100" s="118"/>
      <c r="E100" s="118" t="s">
        <v>230</v>
      </c>
      <c r="F100">
        <v>4027000</v>
      </c>
      <c r="G100" s="118">
        <v>18389</v>
      </c>
      <c r="I100">
        <v>11700</v>
      </c>
      <c r="K100">
        <v>14</v>
      </c>
    </row>
    <row r="101" spans="4:14" x14ac:dyDescent="0.25">
      <c r="D101" s="118"/>
      <c r="E101" s="118" t="s">
        <v>230</v>
      </c>
      <c r="F101">
        <v>4027000</v>
      </c>
      <c r="G101" s="118">
        <v>18747</v>
      </c>
      <c r="I101">
        <v>12200</v>
      </c>
      <c r="K101">
        <v>14.3</v>
      </c>
    </row>
    <row r="102" spans="4:14" x14ac:dyDescent="0.25">
      <c r="D102" s="118"/>
      <c r="E102" s="118" t="s">
        <v>230</v>
      </c>
      <c r="F102">
        <v>4027000</v>
      </c>
      <c r="G102" s="118">
        <v>19103</v>
      </c>
      <c r="I102">
        <v>11500</v>
      </c>
      <c r="K102">
        <v>13.9</v>
      </c>
    </row>
    <row r="103" spans="4:14" x14ac:dyDescent="0.25">
      <c r="D103" s="118"/>
      <c r="E103" s="118" t="s">
        <v>230</v>
      </c>
      <c r="F103">
        <v>4027000</v>
      </c>
      <c r="G103" s="118">
        <v>19541</v>
      </c>
      <c r="I103">
        <v>13800</v>
      </c>
      <c r="K103">
        <v>15.5</v>
      </c>
    </row>
    <row r="104" spans="4:14" x14ac:dyDescent="0.25">
      <c r="D104" s="118"/>
      <c r="E104" s="118" t="s">
        <v>230</v>
      </c>
      <c r="F104">
        <v>4027000</v>
      </c>
      <c r="G104" s="118">
        <v>19845</v>
      </c>
      <c r="I104">
        <v>14600</v>
      </c>
      <c r="K104">
        <v>16.05</v>
      </c>
    </row>
    <row r="105" spans="4:14" x14ac:dyDescent="0.25">
      <c r="D105" s="118"/>
      <c r="E105" s="118" t="s">
        <v>230</v>
      </c>
      <c r="F105">
        <v>4027000</v>
      </c>
      <c r="G105" s="118">
        <v>20189</v>
      </c>
      <c r="I105">
        <v>6770</v>
      </c>
      <c r="K105">
        <v>10.18</v>
      </c>
    </row>
    <row r="106" spans="4:14" x14ac:dyDescent="0.25">
      <c r="D106" s="118"/>
      <c r="E106" s="118" t="s">
        <v>230</v>
      </c>
      <c r="F106">
        <v>4027000</v>
      </c>
      <c r="G106" s="118">
        <v>20589</v>
      </c>
      <c r="I106">
        <v>5500</v>
      </c>
      <c r="K106">
        <v>9.2899999999999991</v>
      </c>
    </row>
    <row r="107" spans="4:14" x14ac:dyDescent="0.25">
      <c r="D107" s="118"/>
      <c r="E107" s="118" t="s">
        <v>230</v>
      </c>
      <c r="F107">
        <v>4027000</v>
      </c>
      <c r="G107" s="118">
        <v>20930</v>
      </c>
      <c r="I107">
        <v>5930</v>
      </c>
      <c r="K107">
        <v>9.5500000000000007</v>
      </c>
      <c r="N107" s="118"/>
    </row>
    <row r="108" spans="4:14" x14ac:dyDescent="0.25">
      <c r="D108" s="118"/>
      <c r="E108" s="118" t="s">
        <v>230</v>
      </c>
      <c r="F108">
        <v>4027000</v>
      </c>
      <c r="G108" s="118">
        <v>21368</v>
      </c>
      <c r="I108">
        <v>6410</v>
      </c>
      <c r="K108">
        <v>10</v>
      </c>
    </row>
    <row r="109" spans="4:14" x14ac:dyDescent="0.25">
      <c r="D109" s="118"/>
      <c r="E109" s="118" t="s">
        <v>230</v>
      </c>
      <c r="F109">
        <v>4027000</v>
      </c>
      <c r="G109" s="118">
        <v>21702</v>
      </c>
      <c r="I109">
        <v>3480</v>
      </c>
      <c r="K109">
        <v>7.24</v>
      </c>
      <c r="N109" s="118"/>
    </row>
    <row r="110" spans="4:14" x14ac:dyDescent="0.25">
      <c r="D110" s="118"/>
      <c r="E110" s="118" t="s">
        <v>230</v>
      </c>
      <c r="F110">
        <v>4027000</v>
      </c>
      <c r="G110" s="118">
        <v>22030</v>
      </c>
      <c r="I110">
        <v>27700</v>
      </c>
      <c r="K110">
        <v>21.7</v>
      </c>
    </row>
    <row r="111" spans="4:14" x14ac:dyDescent="0.25">
      <c r="D111" s="118"/>
      <c r="E111" s="118" t="s">
        <v>230</v>
      </c>
      <c r="F111">
        <v>4027000</v>
      </c>
      <c r="G111" s="118">
        <v>22417</v>
      </c>
      <c r="I111">
        <v>6670</v>
      </c>
      <c r="K111">
        <v>9.6999999999999993</v>
      </c>
      <c r="N111" s="118"/>
    </row>
    <row r="112" spans="4:14" x14ac:dyDescent="0.25">
      <c r="D112" s="118"/>
      <c r="E112" s="118" t="s">
        <v>230</v>
      </c>
      <c r="F112">
        <v>4027000</v>
      </c>
      <c r="G112" s="118">
        <v>22780</v>
      </c>
      <c r="I112">
        <v>4970</v>
      </c>
      <c r="K112">
        <v>8.34</v>
      </c>
    </row>
    <row r="113" spans="4:17" x14ac:dyDescent="0.25">
      <c r="D113" s="118"/>
      <c r="E113" s="118" t="s">
        <v>230</v>
      </c>
      <c r="F113">
        <v>4027000</v>
      </c>
      <c r="G113" s="118">
        <v>23103</v>
      </c>
      <c r="I113">
        <v>7190</v>
      </c>
      <c r="K113">
        <v>10.1</v>
      </c>
    </row>
    <row r="114" spans="4:17" x14ac:dyDescent="0.25">
      <c r="D114" s="118"/>
      <c r="E114" s="118" t="s">
        <v>230</v>
      </c>
      <c r="F114">
        <v>4027000</v>
      </c>
      <c r="G114" s="118">
        <v>23503</v>
      </c>
      <c r="I114">
        <v>9660</v>
      </c>
      <c r="K114">
        <v>11.9</v>
      </c>
    </row>
    <row r="115" spans="4:17" x14ac:dyDescent="0.25">
      <c r="D115" s="118"/>
      <c r="E115" s="118" t="s">
        <v>230</v>
      </c>
      <c r="F115">
        <v>4027000</v>
      </c>
      <c r="G115" s="118">
        <v>23855</v>
      </c>
      <c r="I115">
        <v>6520</v>
      </c>
      <c r="K115">
        <v>10.23</v>
      </c>
    </row>
    <row r="116" spans="4:17" x14ac:dyDescent="0.25">
      <c r="D116" s="118"/>
      <c r="E116" s="118" t="s">
        <v>230</v>
      </c>
      <c r="F116">
        <v>4027000</v>
      </c>
      <c r="G116" s="118">
        <v>24184</v>
      </c>
      <c r="I116">
        <v>7110</v>
      </c>
      <c r="K116">
        <v>10.65</v>
      </c>
    </row>
    <row r="117" spans="4:17" x14ac:dyDescent="0.25">
      <c r="D117" s="118"/>
      <c r="E117" s="118" t="s">
        <v>230</v>
      </c>
      <c r="F117">
        <v>4027000</v>
      </c>
      <c r="G117" s="118">
        <v>24564</v>
      </c>
      <c r="I117">
        <v>11000</v>
      </c>
      <c r="K117">
        <v>14.5</v>
      </c>
      <c r="L117">
        <v>1</v>
      </c>
    </row>
    <row r="118" spans="4:17" x14ac:dyDescent="0.25">
      <c r="D118" s="118"/>
      <c r="E118" s="118" t="s">
        <v>230</v>
      </c>
      <c r="F118">
        <v>4027000</v>
      </c>
      <c r="G118" s="118">
        <v>24974</v>
      </c>
      <c r="I118">
        <v>4840</v>
      </c>
      <c r="K118">
        <v>8.84</v>
      </c>
      <c r="N118" s="118"/>
    </row>
    <row r="119" spans="4:17" x14ac:dyDescent="0.25">
      <c r="D119" s="118"/>
      <c r="E119" s="118" t="s">
        <v>230</v>
      </c>
      <c r="F119">
        <v>4027000</v>
      </c>
      <c r="G119" s="118">
        <v>25303</v>
      </c>
      <c r="I119">
        <v>8240</v>
      </c>
      <c r="K119">
        <v>11.43</v>
      </c>
      <c r="L119">
        <v>2</v>
      </c>
      <c r="N119" s="118">
        <v>25301</v>
      </c>
      <c r="P119">
        <v>11.72</v>
      </c>
      <c r="Q119">
        <v>1</v>
      </c>
    </row>
    <row r="120" spans="4:17" x14ac:dyDescent="0.25">
      <c r="D120" s="118"/>
      <c r="E120" s="118" t="s">
        <v>230</v>
      </c>
      <c r="F120">
        <v>4027000</v>
      </c>
      <c r="G120" s="118">
        <v>25668</v>
      </c>
      <c r="I120">
        <v>3990</v>
      </c>
      <c r="K120">
        <v>7.98</v>
      </c>
    </row>
    <row r="121" spans="4:17" x14ac:dyDescent="0.25">
      <c r="D121" s="118"/>
      <c r="E121" s="118" t="s">
        <v>230</v>
      </c>
      <c r="F121">
        <v>4027000</v>
      </c>
      <c r="G121" s="118">
        <v>26035</v>
      </c>
      <c r="I121">
        <v>10700</v>
      </c>
      <c r="K121">
        <v>13.08</v>
      </c>
    </row>
    <row r="122" spans="4:17" x14ac:dyDescent="0.25">
      <c r="D122" s="118"/>
      <c r="E122" s="118" t="s">
        <v>230</v>
      </c>
      <c r="F122">
        <v>4027000</v>
      </c>
      <c r="G122" s="118">
        <v>26503</v>
      </c>
      <c r="I122">
        <v>9250</v>
      </c>
      <c r="K122">
        <v>12.1</v>
      </c>
      <c r="N122" s="118"/>
    </row>
    <row r="123" spans="4:17" x14ac:dyDescent="0.25">
      <c r="D123" s="118"/>
      <c r="E123" s="118" t="s">
        <v>230</v>
      </c>
      <c r="F123">
        <v>4027000</v>
      </c>
      <c r="G123" s="118">
        <v>26738</v>
      </c>
      <c r="I123">
        <v>8000</v>
      </c>
      <c r="J123" t="s">
        <v>256</v>
      </c>
      <c r="K123">
        <v>11.2</v>
      </c>
      <c r="L123">
        <v>1</v>
      </c>
      <c r="N123" s="118"/>
    </row>
    <row r="124" spans="4:17" x14ac:dyDescent="0.25">
      <c r="D124" s="118"/>
      <c r="E124" s="118" t="s">
        <v>230</v>
      </c>
      <c r="F124">
        <v>4027000</v>
      </c>
      <c r="G124" s="118">
        <v>27191</v>
      </c>
      <c r="I124">
        <v>8190</v>
      </c>
      <c r="K124">
        <v>11.36</v>
      </c>
      <c r="N124" s="118"/>
    </row>
    <row r="125" spans="4:17" x14ac:dyDescent="0.25">
      <c r="D125" s="118"/>
      <c r="E125" s="118" t="s">
        <v>230</v>
      </c>
      <c r="F125">
        <v>4027000</v>
      </c>
      <c r="G125" s="118">
        <v>27508</v>
      </c>
      <c r="I125">
        <v>6550</v>
      </c>
      <c r="K125">
        <v>10.25</v>
      </c>
      <c r="N125" s="118"/>
    </row>
    <row r="126" spans="4:17" x14ac:dyDescent="0.25">
      <c r="D126" s="118"/>
      <c r="E126" s="118" t="s">
        <v>230</v>
      </c>
      <c r="F126">
        <v>4027000</v>
      </c>
      <c r="G126" s="118">
        <v>27849</v>
      </c>
      <c r="I126">
        <v>9910</v>
      </c>
      <c r="K126">
        <v>12.12</v>
      </c>
      <c r="L126">
        <v>2</v>
      </c>
      <c r="N126" s="118">
        <v>27848</v>
      </c>
      <c r="P126">
        <v>12.54</v>
      </c>
      <c r="Q126">
        <v>1</v>
      </c>
    </row>
    <row r="127" spans="4:17" x14ac:dyDescent="0.25">
      <c r="D127" s="118"/>
      <c r="E127" s="118" t="s">
        <v>230</v>
      </c>
      <c r="F127">
        <v>4027000</v>
      </c>
      <c r="G127" s="118">
        <v>28368</v>
      </c>
      <c r="I127">
        <v>7380</v>
      </c>
      <c r="K127">
        <v>11.35</v>
      </c>
    </row>
    <row r="128" spans="4:17" x14ac:dyDescent="0.25">
      <c r="D128" s="118"/>
      <c r="E128" s="118" t="s">
        <v>230</v>
      </c>
      <c r="F128">
        <v>4027000</v>
      </c>
      <c r="G128" s="118">
        <v>28590</v>
      </c>
      <c r="I128">
        <v>7170</v>
      </c>
      <c r="K128">
        <v>10.56</v>
      </c>
      <c r="N128" s="118"/>
    </row>
    <row r="129" spans="4:17" x14ac:dyDescent="0.25">
      <c r="D129" s="118"/>
      <c r="E129" s="118" t="s">
        <v>230</v>
      </c>
      <c r="F129">
        <v>4027000</v>
      </c>
      <c r="G129" s="118">
        <v>28966</v>
      </c>
      <c r="I129">
        <v>8180</v>
      </c>
      <c r="K129">
        <v>12</v>
      </c>
      <c r="N129" s="118"/>
    </row>
    <row r="130" spans="4:17" x14ac:dyDescent="0.25">
      <c r="D130" s="118"/>
      <c r="E130" s="118" t="s">
        <v>230</v>
      </c>
      <c r="F130">
        <v>4027000</v>
      </c>
      <c r="G130" s="118">
        <v>29319</v>
      </c>
      <c r="I130">
        <v>5580</v>
      </c>
      <c r="K130">
        <v>9.7799999999999994</v>
      </c>
      <c r="N130" s="118"/>
    </row>
    <row r="131" spans="4:17" x14ac:dyDescent="0.25">
      <c r="D131" s="118"/>
      <c r="E131" s="118" t="s">
        <v>230</v>
      </c>
      <c r="F131">
        <v>4027000</v>
      </c>
      <c r="G131" s="118">
        <v>29675</v>
      </c>
      <c r="I131">
        <v>7580</v>
      </c>
      <c r="K131">
        <v>11.52</v>
      </c>
    </row>
    <row r="132" spans="4:17" x14ac:dyDescent="0.25">
      <c r="D132" s="118"/>
      <c r="E132" s="118" t="s">
        <v>230</v>
      </c>
      <c r="F132">
        <v>4027000</v>
      </c>
      <c r="G132" s="118">
        <v>30058</v>
      </c>
      <c r="I132">
        <v>8480</v>
      </c>
      <c r="K132">
        <v>12.2</v>
      </c>
      <c r="N132" s="118"/>
    </row>
    <row r="133" spans="4:17" x14ac:dyDescent="0.25">
      <c r="D133" s="118"/>
      <c r="E133" s="118" t="s">
        <v>230</v>
      </c>
      <c r="F133">
        <v>4027000</v>
      </c>
      <c r="G133" s="118">
        <v>30276</v>
      </c>
      <c r="I133">
        <v>7150</v>
      </c>
      <c r="K133">
        <v>11.16</v>
      </c>
      <c r="N133" s="118"/>
    </row>
    <row r="134" spans="4:17" x14ac:dyDescent="0.25">
      <c r="D134" s="118"/>
      <c r="E134" s="118" t="s">
        <v>230</v>
      </c>
      <c r="F134">
        <v>4027000</v>
      </c>
      <c r="G134" s="118">
        <v>30785</v>
      </c>
      <c r="I134">
        <v>6350</v>
      </c>
      <c r="K134">
        <v>10.49</v>
      </c>
      <c r="N134" s="118"/>
    </row>
    <row r="135" spans="4:17" x14ac:dyDescent="0.25">
      <c r="D135" s="118"/>
      <c r="E135" s="118" t="s">
        <v>230</v>
      </c>
      <c r="F135">
        <v>4027000</v>
      </c>
      <c r="G135" s="118">
        <v>31320</v>
      </c>
      <c r="I135">
        <v>6170</v>
      </c>
      <c r="K135">
        <v>10.34</v>
      </c>
      <c r="N135" s="118"/>
    </row>
    <row r="136" spans="4:17" x14ac:dyDescent="0.25">
      <c r="D136" s="118"/>
      <c r="E136" s="118" t="s">
        <v>230</v>
      </c>
      <c r="F136">
        <v>4027000</v>
      </c>
      <c r="G136" s="118">
        <v>31503</v>
      </c>
      <c r="I136">
        <v>11500</v>
      </c>
      <c r="K136">
        <v>14.66</v>
      </c>
      <c r="N136" s="118"/>
    </row>
    <row r="137" spans="4:17" x14ac:dyDescent="0.25">
      <c r="D137" s="118"/>
      <c r="E137" s="118" t="s">
        <v>230</v>
      </c>
      <c r="F137">
        <v>4027000</v>
      </c>
      <c r="G137" s="118">
        <v>31697</v>
      </c>
      <c r="I137">
        <v>3510</v>
      </c>
      <c r="K137">
        <v>7.69</v>
      </c>
      <c r="N137" s="118"/>
    </row>
    <row r="138" spans="4:17" x14ac:dyDescent="0.25">
      <c r="D138" s="118"/>
      <c r="E138" s="118" t="s">
        <v>230</v>
      </c>
      <c r="F138">
        <v>4027000</v>
      </c>
      <c r="G138" s="118">
        <v>32240</v>
      </c>
      <c r="I138">
        <v>6360</v>
      </c>
      <c r="K138">
        <v>10.53</v>
      </c>
      <c r="L138">
        <v>2</v>
      </c>
      <c r="N138" s="118">
        <v>32237</v>
      </c>
      <c r="P138">
        <v>11.22</v>
      </c>
      <c r="Q138">
        <v>1</v>
      </c>
    </row>
    <row r="139" spans="4:17" x14ac:dyDescent="0.25">
      <c r="D139" s="118"/>
      <c r="E139" s="118" t="s">
        <v>230</v>
      </c>
      <c r="F139">
        <v>4027000</v>
      </c>
      <c r="G139" s="118">
        <v>32615</v>
      </c>
      <c r="I139">
        <v>4060</v>
      </c>
      <c r="K139">
        <v>8.25</v>
      </c>
      <c r="L139">
        <v>2</v>
      </c>
      <c r="N139" s="118">
        <v>32603</v>
      </c>
      <c r="P139">
        <v>11.58</v>
      </c>
      <c r="Q139">
        <v>1</v>
      </c>
    </row>
    <row r="140" spans="4:17" x14ac:dyDescent="0.25">
      <c r="D140" s="118"/>
      <c r="E140" s="118" t="s">
        <v>230</v>
      </c>
      <c r="F140">
        <v>4027000</v>
      </c>
      <c r="G140" s="118">
        <v>32948</v>
      </c>
      <c r="I140">
        <v>5800</v>
      </c>
      <c r="J140">
        <v>2</v>
      </c>
      <c r="K140">
        <v>13.06</v>
      </c>
      <c r="L140">
        <v>1</v>
      </c>
      <c r="N140" s="118"/>
    </row>
    <row r="141" spans="4:17" x14ac:dyDescent="0.25">
      <c r="D141" s="118"/>
      <c r="E141" s="118" t="s">
        <v>230</v>
      </c>
      <c r="F141">
        <v>4027000</v>
      </c>
      <c r="G141" s="118">
        <v>33164</v>
      </c>
      <c r="I141">
        <v>6260</v>
      </c>
      <c r="K141">
        <v>10.44</v>
      </c>
      <c r="L141">
        <v>2</v>
      </c>
      <c r="N141" s="118">
        <v>33323</v>
      </c>
      <c r="P141">
        <v>10.64</v>
      </c>
      <c r="Q141">
        <v>1</v>
      </c>
    </row>
    <row r="142" spans="4:17" x14ac:dyDescent="0.25">
      <c r="D142" s="118"/>
      <c r="E142" s="118" t="s">
        <v>230</v>
      </c>
      <c r="F142">
        <v>4027000</v>
      </c>
      <c r="G142" s="118">
        <v>33788</v>
      </c>
      <c r="I142">
        <v>20100</v>
      </c>
      <c r="K142">
        <v>18.41</v>
      </c>
      <c r="N142" s="118"/>
    </row>
    <row r="143" spans="4:17" x14ac:dyDescent="0.25">
      <c r="D143" s="118"/>
      <c r="E143" s="118" t="s">
        <v>230</v>
      </c>
      <c r="F143">
        <v>4027000</v>
      </c>
      <c r="G143" s="118">
        <v>34091</v>
      </c>
      <c r="I143">
        <v>4020</v>
      </c>
      <c r="K143">
        <v>8.34</v>
      </c>
      <c r="N143" s="118"/>
    </row>
    <row r="144" spans="4:17" x14ac:dyDescent="0.25">
      <c r="D144" s="118"/>
      <c r="E144" s="118" t="s">
        <v>230</v>
      </c>
      <c r="F144">
        <v>4027000</v>
      </c>
      <c r="G144" s="118">
        <v>34451</v>
      </c>
      <c r="I144">
        <v>4760</v>
      </c>
      <c r="K144">
        <v>9.11</v>
      </c>
      <c r="N144" s="118"/>
    </row>
    <row r="145" spans="4:17" x14ac:dyDescent="0.25">
      <c r="D145" s="118"/>
      <c r="E145" s="118" t="s">
        <v>230</v>
      </c>
      <c r="F145">
        <v>4027000</v>
      </c>
      <c r="G145" s="118">
        <v>34829</v>
      </c>
      <c r="I145">
        <v>5090</v>
      </c>
      <c r="K145">
        <v>9.42</v>
      </c>
      <c r="L145">
        <v>2</v>
      </c>
      <c r="N145" s="118">
        <v>34775</v>
      </c>
      <c r="P145">
        <v>11.93</v>
      </c>
      <c r="Q145">
        <v>1</v>
      </c>
    </row>
    <row r="146" spans="4:17" x14ac:dyDescent="0.25">
      <c r="D146" s="118"/>
      <c r="E146" s="118" t="s">
        <v>230</v>
      </c>
      <c r="F146">
        <v>4027000</v>
      </c>
      <c r="G146" s="118">
        <v>35175</v>
      </c>
      <c r="I146">
        <v>13000</v>
      </c>
      <c r="K146">
        <v>14.75</v>
      </c>
      <c r="N146" s="118"/>
    </row>
    <row r="147" spans="4:17" x14ac:dyDescent="0.25">
      <c r="D147" s="118"/>
      <c r="E147" s="118" t="s">
        <v>230</v>
      </c>
      <c r="F147">
        <v>4027000</v>
      </c>
      <c r="G147" s="118">
        <v>35526</v>
      </c>
      <c r="I147">
        <v>11200</v>
      </c>
      <c r="K147">
        <v>13.73</v>
      </c>
      <c r="N147" s="118"/>
    </row>
    <row r="148" spans="4:17" x14ac:dyDescent="0.25">
      <c r="D148" s="118"/>
      <c r="E148" s="118" t="s">
        <v>230</v>
      </c>
      <c r="F148">
        <v>4027000</v>
      </c>
      <c r="G148" s="118">
        <v>35884</v>
      </c>
      <c r="I148">
        <v>10100</v>
      </c>
      <c r="K148">
        <v>13</v>
      </c>
    </row>
    <row r="149" spans="4:17" x14ac:dyDescent="0.25">
      <c r="D149" s="118"/>
      <c r="E149" s="118" t="s">
        <v>230</v>
      </c>
      <c r="F149">
        <v>4027000</v>
      </c>
      <c r="G149" s="118">
        <v>36256</v>
      </c>
      <c r="I149">
        <v>5870</v>
      </c>
      <c r="K149">
        <v>10.06</v>
      </c>
    </row>
    <row r="150" spans="4:17" x14ac:dyDescent="0.25">
      <c r="D150" s="118"/>
      <c r="E150" s="118" t="s">
        <v>230</v>
      </c>
      <c r="F150">
        <v>4027000</v>
      </c>
      <c r="G150" s="118">
        <v>36716</v>
      </c>
      <c r="I150">
        <v>5540</v>
      </c>
      <c r="K150">
        <v>9.7899999999999991</v>
      </c>
      <c r="N150" s="118"/>
    </row>
    <row r="151" spans="4:17" x14ac:dyDescent="0.25">
      <c r="D151" s="118"/>
      <c r="E151" s="118" t="s">
        <v>230</v>
      </c>
      <c r="F151">
        <v>4027000</v>
      </c>
      <c r="G151" s="118">
        <v>37005</v>
      </c>
      <c r="I151">
        <v>12400</v>
      </c>
      <c r="K151">
        <v>14.4</v>
      </c>
      <c r="N151" s="118"/>
    </row>
    <row r="152" spans="4:17" x14ac:dyDescent="0.25">
      <c r="D152" s="118"/>
      <c r="E152" s="118" t="s">
        <v>230</v>
      </c>
      <c r="F152">
        <v>4027000</v>
      </c>
      <c r="G152" s="118">
        <v>37361</v>
      </c>
      <c r="H152" s="119"/>
      <c r="I152">
        <v>14700</v>
      </c>
      <c r="K152">
        <v>15.71</v>
      </c>
      <c r="N152" s="118"/>
    </row>
    <row r="153" spans="4:17" x14ac:dyDescent="0.25">
      <c r="D153" s="118"/>
      <c r="E153" s="118" t="s">
        <v>230</v>
      </c>
      <c r="F153">
        <v>4027000</v>
      </c>
      <c r="G153" s="118">
        <v>37753</v>
      </c>
      <c r="H153" s="119"/>
      <c r="I153">
        <v>20600</v>
      </c>
      <c r="K153">
        <v>18.670000000000002</v>
      </c>
    </row>
    <row r="154" spans="4:17" x14ac:dyDescent="0.25">
      <c r="D154" s="118"/>
      <c r="E154" s="118" t="s">
        <v>230</v>
      </c>
      <c r="F154">
        <v>4027000</v>
      </c>
      <c r="G154" s="118">
        <v>38075</v>
      </c>
      <c r="H154" s="119"/>
      <c r="I154">
        <v>8020</v>
      </c>
      <c r="K154">
        <v>11.3</v>
      </c>
      <c r="N154" s="118"/>
    </row>
    <row r="155" spans="4:17" x14ac:dyDescent="0.25">
      <c r="D155" s="118"/>
      <c r="E155" s="118" t="s">
        <v>230</v>
      </c>
      <c r="F155">
        <v>4027000</v>
      </c>
      <c r="G155" s="118">
        <v>38557</v>
      </c>
      <c r="I155">
        <v>6810</v>
      </c>
      <c r="K155">
        <v>10.32</v>
      </c>
      <c r="N155" s="118"/>
    </row>
    <row r="156" spans="4:17" x14ac:dyDescent="0.25">
      <c r="D156" s="118"/>
      <c r="E156" s="118" t="s">
        <v>230</v>
      </c>
      <c r="F156">
        <v>4027000</v>
      </c>
      <c r="G156" s="118">
        <v>38631</v>
      </c>
      <c r="I156">
        <v>6930</v>
      </c>
      <c r="K156">
        <v>10.42</v>
      </c>
      <c r="N156" s="118"/>
    </row>
    <row r="157" spans="4:17" x14ac:dyDescent="0.25">
      <c r="D157" s="118"/>
      <c r="E157" s="118" t="s">
        <v>230</v>
      </c>
      <c r="F157">
        <v>4027000</v>
      </c>
      <c r="G157" s="118">
        <v>39168</v>
      </c>
      <c r="I157">
        <v>5010</v>
      </c>
      <c r="K157">
        <v>8.7899999999999991</v>
      </c>
      <c r="N157" s="118"/>
    </row>
    <row r="158" spans="4:17" x14ac:dyDescent="0.25">
      <c r="D158" s="118"/>
      <c r="E158" s="118" t="s">
        <v>230</v>
      </c>
      <c r="F158">
        <v>4027000</v>
      </c>
      <c r="G158" s="118">
        <v>39561</v>
      </c>
      <c r="H158" s="119"/>
      <c r="I158">
        <v>7650</v>
      </c>
      <c r="K158">
        <v>11</v>
      </c>
      <c r="N158" s="118"/>
    </row>
    <row r="159" spans="4:17" x14ac:dyDescent="0.25">
      <c r="D159" s="118"/>
      <c r="E159" s="118" t="s">
        <v>230</v>
      </c>
      <c r="F159">
        <v>4027000</v>
      </c>
      <c r="G159" s="118">
        <v>39928</v>
      </c>
      <c r="I159">
        <v>2380</v>
      </c>
      <c r="K159">
        <v>6.15</v>
      </c>
      <c r="L159">
        <v>2</v>
      </c>
      <c r="N159" s="118">
        <v>39897</v>
      </c>
      <c r="P159">
        <v>6.19</v>
      </c>
      <c r="Q159">
        <v>1</v>
      </c>
    </row>
    <row r="160" spans="4:17" x14ac:dyDescent="0.25">
      <c r="D160" s="118"/>
      <c r="E160" s="118" t="s">
        <v>230</v>
      </c>
      <c r="F160">
        <v>4027000</v>
      </c>
      <c r="G160" s="118">
        <v>40445</v>
      </c>
      <c r="I160">
        <v>5350</v>
      </c>
      <c r="K160">
        <v>9.09</v>
      </c>
      <c r="L160">
        <v>2</v>
      </c>
      <c r="N160" s="118">
        <v>40252</v>
      </c>
      <c r="P160">
        <v>9.98</v>
      </c>
      <c r="Q160">
        <v>1</v>
      </c>
    </row>
    <row r="161" spans="4:17" x14ac:dyDescent="0.25">
      <c r="D161" s="118"/>
      <c r="E161" s="118" t="s">
        <v>230</v>
      </c>
      <c r="F161">
        <v>4027000</v>
      </c>
      <c r="G161" s="118">
        <v>40644</v>
      </c>
      <c r="I161">
        <v>7320</v>
      </c>
      <c r="K161">
        <v>10.68</v>
      </c>
    </row>
    <row r="162" spans="4:17" x14ac:dyDescent="0.25">
      <c r="D162" s="118"/>
      <c r="E162" s="118" t="s">
        <v>230</v>
      </c>
      <c r="F162">
        <v>4027000</v>
      </c>
      <c r="G162" s="118">
        <v>41081</v>
      </c>
      <c r="I162">
        <v>6480</v>
      </c>
      <c r="K162">
        <v>10.89</v>
      </c>
      <c r="N162" s="118"/>
    </row>
    <row r="163" spans="4:17" x14ac:dyDescent="0.25">
      <c r="D163" s="118"/>
      <c r="E163" s="118" t="s">
        <v>230</v>
      </c>
      <c r="F163">
        <v>4027000</v>
      </c>
      <c r="G163" s="118">
        <v>41415</v>
      </c>
      <c r="I163">
        <v>12800</v>
      </c>
      <c r="K163">
        <v>14.6</v>
      </c>
      <c r="N163" s="118"/>
    </row>
    <row r="164" spans="4:17" x14ac:dyDescent="0.25">
      <c r="D164" s="118"/>
      <c r="E164" s="118" t="s">
        <v>230</v>
      </c>
      <c r="F164">
        <v>4027000</v>
      </c>
      <c r="G164" s="118">
        <v>41768</v>
      </c>
      <c r="H164" s="119"/>
      <c r="I164">
        <v>10100</v>
      </c>
      <c r="K164">
        <v>12.65</v>
      </c>
      <c r="N164" s="118"/>
    </row>
    <row r="165" spans="4:17" x14ac:dyDescent="0.25">
      <c r="D165" s="118"/>
      <c r="E165" s="118" t="s">
        <v>230</v>
      </c>
      <c r="F165">
        <v>4027000</v>
      </c>
      <c r="G165" s="118">
        <v>42080</v>
      </c>
      <c r="H165" s="119"/>
      <c r="I165">
        <v>3000</v>
      </c>
      <c r="K165">
        <v>7.13</v>
      </c>
      <c r="L165" t="s">
        <v>257</v>
      </c>
      <c r="N165" s="118">
        <v>41989</v>
      </c>
      <c r="P165">
        <v>7.97</v>
      </c>
      <c r="Q165">
        <v>1</v>
      </c>
    </row>
    <row r="166" spans="4:17" x14ac:dyDescent="0.25">
      <c r="D166" s="118"/>
      <c r="E166" s="118" t="s">
        <v>230</v>
      </c>
      <c r="F166">
        <v>4027000</v>
      </c>
      <c r="G166" s="118">
        <v>42563</v>
      </c>
      <c r="H166" s="119"/>
      <c r="I166">
        <v>40000</v>
      </c>
      <c r="K166">
        <v>27.28</v>
      </c>
    </row>
    <row r="167" spans="4:17" x14ac:dyDescent="0.25">
      <c r="D167" s="118"/>
      <c r="E167" s="118" t="s">
        <v>230</v>
      </c>
      <c r="F167">
        <v>4027000</v>
      </c>
      <c r="G167" s="118">
        <v>42873</v>
      </c>
      <c r="H167" s="119"/>
      <c r="I167">
        <v>10700</v>
      </c>
      <c r="K167">
        <v>13.28</v>
      </c>
      <c r="N167" s="118"/>
    </row>
    <row r="168" spans="4:17" x14ac:dyDescent="0.25">
      <c r="D168" s="118"/>
      <c r="E168" s="118" t="s">
        <v>230</v>
      </c>
      <c r="F168">
        <v>4027000</v>
      </c>
      <c r="G168" s="118">
        <v>43269</v>
      </c>
      <c r="H168" s="119">
        <v>0.25</v>
      </c>
      <c r="I168">
        <v>14300</v>
      </c>
      <c r="K168">
        <v>15.52</v>
      </c>
      <c r="N168" s="118"/>
    </row>
    <row r="169" spans="4:17" x14ac:dyDescent="0.25">
      <c r="D169" s="118"/>
      <c r="E169" s="118" t="s">
        <v>230</v>
      </c>
      <c r="F169">
        <v>4027000</v>
      </c>
      <c r="G169" s="118">
        <v>43578</v>
      </c>
      <c r="H169" s="119">
        <v>0.41666666666666669</v>
      </c>
      <c r="I169">
        <v>13800</v>
      </c>
      <c r="K169">
        <v>15.25</v>
      </c>
      <c r="N169" s="118"/>
    </row>
    <row r="170" spans="4:17" x14ac:dyDescent="0.25">
      <c r="D170" s="118"/>
      <c r="E170" s="118" t="s">
        <v>230</v>
      </c>
      <c r="F170">
        <v>4027000</v>
      </c>
      <c r="G170" s="118">
        <v>43920</v>
      </c>
      <c r="H170" s="119">
        <v>9.375E-2</v>
      </c>
      <c r="I170">
        <v>7650</v>
      </c>
      <c r="K170">
        <v>11.08</v>
      </c>
    </row>
    <row r="171" spans="4:17" x14ac:dyDescent="0.25">
      <c r="D171" s="118"/>
      <c r="E171" s="118" t="s">
        <v>230</v>
      </c>
      <c r="F171">
        <v>4027000</v>
      </c>
      <c r="G171" s="118">
        <v>44280</v>
      </c>
      <c r="H171" s="119">
        <v>0.19791666666666666</v>
      </c>
      <c r="I171">
        <v>5180</v>
      </c>
      <c r="K171">
        <v>9.01</v>
      </c>
    </row>
    <row r="172" spans="4:17" x14ac:dyDescent="0.25">
      <c r="D172" s="118"/>
      <c r="E172" s="118" t="s">
        <v>230</v>
      </c>
      <c r="F172">
        <v>4027000</v>
      </c>
      <c r="G172" s="118">
        <v>44665</v>
      </c>
      <c r="H172" s="119">
        <v>0.27083333333333331</v>
      </c>
      <c r="I172">
        <v>6550</v>
      </c>
      <c r="K172">
        <v>10.33</v>
      </c>
    </row>
    <row r="173" spans="4:17" x14ac:dyDescent="0.25">
      <c r="D173" s="118"/>
      <c r="E173" s="118" t="s">
        <v>231</v>
      </c>
      <c r="G173" s="118"/>
      <c r="N173" s="118"/>
    </row>
    <row r="174" spans="4:17" x14ac:dyDescent="0.25">
      <c r="D174" s="118"/>
      <c r="E174" s="118"/>
      <c r="G174" s="118"/>
    </row>
    <row r="175" spans="4:17" x14ac:dyDescent="0.25">
      <c r="D175" s="118"/>
      <c r="E175" s="118"/>
      <c r="G175" s="118"/>
    </row>
    <row r="176" spans="4:17" x14ac:dyDescent="0.25">
      <c r="D176" s="118"/>
      <c r="E176" s="118"/>
      <c r="G176" s="118"/>
      <c r="N176" s="118"/>
    </row>
    <row r="177" spans="4:14" x14ac:dyDescent="0.25">
      <c r="D177" s="118"/>
      <c r="E177" s="118"/>
      <c r="G177" s="118"/>
    </row>
    <row r="178" spans="4:14" x14ac:dyDescent="0.25">
      <c r="D178" s="118"/>
      <c r="E178" s="118"/>
      <c r="G178" s="118"/>
      <c r="H178" s="119"/>
    </row>
    <row r="179" spans="4:14" x14ac:dyDescent="0.25">
      <c r="D179" s="118"/>
      <c r="E179" s="118"/>
      <c r="G179" s="118"/>
      <c r="H179" s="119"/>
    </row>
    <row r="180" spans="4:14" x14ac:dyDescent="0.25">
      <c r="D180" s="118"/>
      <c r="E180" s="118"/>
      <c r="G180" s="118"/>
      <c r="H180" s="119"/>
    </row>
    <row r="181" spans="4:14" x14ac:dyDescent="0.25">
      <c r="D181" s="118"/>
      <c r="E181" s="118"/>
      <c r="G181" s="118"/>
      <c r="H181" s="119"/>
    </row>
    <row r="182" spans="4:14" x14ac:dyDescent="0.25">
      <c r="D182" s="118"/>
      <c r="E182" s="118"/>
      <c r="G182" s="118"/>
      <c r="H182" s="119"/>
    </row>
    <row r="183" spans="4:14" x14ac:dyDescent="0.25">
      <c r="D183" s="118"/>
      <c r="E183" s="118"/>
      <c r="G183" s="118"/>
      <c r="H183" s="119"/>
    </row>
    <row r="184" spans="4:14" x14ac:dyDescent="0.25">
      <c r="D184" s="118"/>
      <c r="E184" s="118"/>
      <c r="G184" s="118"/>
      <c r="N184" s="118"/>
    </row>
    <row r="185" spans="4:14" x14ac:dyDescent="0.25">
      <c r="D185" s="118"/>
      <c r="E185" s="118"/>
      <c r="G185" s="118"/>
    </row>
    <row r="186" spans="4:14" x14ac:dyDescent="0.25">
      <c r="D186" s="118"/>
      <c r="E186" s="118"/>
      <c r="G186" s="118"/>
    </row>
    <row r="187" spans="4:14" x14ac:dyDescent="0.25">
      <c r="D187" s="118"/>
      <c r="E187" s="118"/>
    </row>
  </sheetData>
  <hyperlinks>
    <hyperlink ref="B15" r:id="rId1" display="URL;http://nwis.waterdata.usgs.gov/nwis/peak?site_no=6329500&amp;agency_cd=USGS&amp;format=rdb" xr:uid="{00000000-0004-0000-0100-000000000000}"/>
    <hyperlink ref="B10" r:id="rId2" xr:uid="{00000000-0004-0000-0100-000001000000}"/>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97281" r:id="rId5" name="Button 1">
              <controlPr defaultSize="0" print="0" autoFill="0" autoPict="0" macro="[0]!getStateList">
                <anchor moveWithCells="1" sizeWithCells="1">
                  <from>
                    <xdr:col>2</xdr:col>
                    <xdr:colOff>180975</xdr:colOff>
                    <xdr:row>3</xdr:row>
                    <xdr:rowOff>133350</xdr:rowOff>
                  </from>
                  <to>
                    <xdr:col>4</xdr:col>
                    <xdr:colOff>152400</xdr:colOff>
                    <xdr:row>6</xdr:row>
                    <xdr:rowOff>85725</xdr:rowOff>
                  </to>
                </anchor>
              </controlPr>
            </control>
          </mc:Choice>
        </mc:AlternateContent>
        <mc:AlternateContent xmlns:mc="http://schemas.openxmlformats.org/markup-compatibility/2006">
          <mc:Choice Requires="x14">
            <control shapeId="97282" r:id="rId6" name="Button 2">
              <controlPr defaultSize="0" print="0" autoFill="0" autoPict="0" macro="[0]!getData">
                <anchor moveWithCells="1" sizeWithCells="1">
                  <from>
                    <xdr:col>2</xdr:col>
                    <xdr:colOff>76200</xdr:colOff>
                    <xdr:row>11</xdr:row>
                    <xdr:rowOff>38100</xdr:rowOff>
                  </from>
                  <to>
                    <xdr:col>4</xdr:col>
                    <xdr:colOff>285750</xdr:colOff>
                    <xdr:row>13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BU349"/>
  <sheetViews>
    <sheetView workbookViewId="0">
      <pane ySplit="4" topLeftCell="A5" activePane="bottomLeft" state="frozen"/>
      <selection pane="bottomLeft"/>
    </sheetView>
  </sheetViews>
  <sheetFormatPr defaultRowHeight="13.5" x14ac:dyDescent="0.25"/>
  <cols>
    <col min="1" max="1" width="12.7109375" customWidth="1"/>
    <col min="2" max="3" width="3.7109375" customWidth="1"/>
    <col min="4" max="4" width="6.85546875" customWidth="1"/>
    <col min="5" max="5" width="9.7109375" customWidth="1"/>
    <col min="7" max="7" width="9.42578125" bestFit="1" customWidth="1"/>
    <col min="9" max="10" width="9.7109375" customWidth="1"/>
    <col min="11" max="11" width="11.140625" customWidth="1"/>
    <col min="12" max="12" width="9.7109375" customWidth="1"/>
    <col min="13" max="13" width="10.140625" customWidth="1"/>
    <col min="14" max="14" width="10.28515625" customWidth="1"/>
    <col min="15" max="15" width="9.7109375" customWidth="1"/>
  </cols>
  <sheetData>
    <row r="1" spans="1:73" ht="15" x14ac:dyDescent="0.3">
      <c r="A1" s="10" t="s">
        <v>258</v>
      </c>
      <c r="E1" s="42"/>
      <c r="I1" s="21" t="s">
        <v>60</v>
      </c>
    </row>
    <row r="2" spans="1:73" x14ac:dyDescent="0.25">
      <c r="A2" s="1"/>
      <c r="B2" s="1"/>
      <c r="C2" s="1"/>
      <c r="I2" s="22" t="s">
        <v>61</v>
      </c>
    </row>
    <row r="3" spans="1:73" ht="15.75" x14ac:dyDescent="0.25">
      <c r="A3" s="1" t="s">
        <v>0</v>
      </c>
      <c r="B3" s="1"/>
      <c r="C3" s="1"/>
      <c r="D3" s="1" t="s">
        <v>2</v>
      </c>
      <c r="E3" s="1" t="s">
        <v>1</v>
      </c>
      <c r="F3" s="1" t="s">
        <v>5</v>
      </c>
      <c r="G3" s="1" t="s">
        <v>9</v>
      </c>
      <c r="H3" s="1" t="s">
        <v>11</v>
      </c>
      <c r="J3" s="4" t="s">
        <v>7</v>
      </c>
      <c r="K3" s="26">
        <v>3.8832964393596763</v>
      </c>
    </row>
    <row r="4" spans="1:73" ht="14.25" thickBot="1" x14ac:dyDescent="0.3">
      <c r="A4" s="14" t="s">
        <v>47</v>
      </c>
      <c r="B4" s="14" t="s">
        <v>48</v>
      </c>
      <c r="C4" s="14" t="s">
        <v>49</v>
      </c>
      <c r="D4" s="14" t="s">
        <v>4</v>
      </c>
      <c r="E4" s="14" t="s">
        <v>3</v>
      </c>
      <c r="F4" s="13"/>
      <c r="G4" s="13"/>
      <c r="H4" s="13"/>
      <c r="J4" s="4" t="s">
        <v>6</v>
      </c>
      <c r="K4" s="25">
        <v>80</v>
      </c>
      <c r="L4" t="s">
        <v>50</v>
      </c>
    </row>
    <row r="5" spans="1:73" x14ac:dyDescent="0.25">
      <c r="A5" s="55">
        <v>5615</v>
      </c>
      <c r="B5" s="22"/>
      <c r="C5" s="22"/>
      <c r="D5" s="121"/>
      <c r="E5" s="47">
        <v>3900</v>
      </c>
      <c r="F5" s="20">
        <v>3.5910646116959515</v>
      </c>
      <c r="G5" s="20">
        <v>12.895745045374994</v>
      </c>
      <c r="H5" s="20">
        <v>46.309453673899547</v>
      </c>
      <c r="I5" s="3"/>
      <c r="J5" s="4" t="s">
        <v>8</v>
      </c>
      <c r="K5" s="26">
        <v>0.1978817150256324</v>
      </c>
      <c r="L5" t="s">
        <v>35</v>
      </c>
    </row>
    <row r="6" spans="1:73" x14ac:dyDescent="0.25">
      <c r="A6" s="55">
        <v>5957</v>
      </c>
      <c r="B6" s="22"/>
      <c r="C6" s="22"/>
      <c r="D6" s="121"/>
      <c r="E6" s="47">
        <v>12200</v>
      </c>
      <c r="F6" s="20">
        <v>4.0863598359882314</v>
      </c>
      <c r="G6" s="20">
        <v>16.698336709177767</v>
      </c>
      <c r="H6" s="20">
        <v>68.235412456191924</v>
      </c>
      <c r="I6" s="3"/>
      <c r="J6" s="4" t="s">
        <v>10</v>
      </c>
      <c r="K6" s="26">
        <v>0.17815365538080563</v>
      </c>
      <c r="L6" t="s">
        <v>62</v>
      </c>
    </row>
    <row r="7" spans="1:73" x14ac:dyDescent="0.25">
      <c r="A7" s="55">
        <v>6321</v>
      </c>
      <c r="B7" s="22"/>
      <c r="C7" s="22"/>
      <c r="D7" s="121"/>
      <c r="E7" s="47">
        <v>4060</v>
      </c>
      <c r="F7" s="20">
        <v>3.6085260382693516</v>
      </c>
      <c r="G7" s="20">
        <v>13.021460168867902</v>
      </c>
      <c r="H7" s="20">
        <v>46.988278075647052</v>
      </c>
      <c r="I7" s="3"/>
      <c r="K7" s="21"/>
      <c r="N7" s="25"/>
    </row>
    <row r="8" spans="1:73" x14ac:dyDescent="0.25">
      <c r="A8" s="55">
        <v>6727</v>
      </c>
      <c r="B8" s="22"/>
      <c r="C8" s="22"/>
      <c r="D8" s="121"/>
      <c r="E8" s="47">
        <v>8590</v>
      </c>
      <c r="F8" s="20">
        <v>3.9339931689466039</v>
      </c>
      <c r="G8" s="20">
        <v>15.476302253318543</v>
      </c>
      <c r="H8" s="20">
        <v>60.88366734510808</v>
      </c>
      <c r="J8" t="s">
        <v>16</v>
      </c>
    </row>
    <row r="9" spans="1:73" x14ac:dyDescent="0.25">
      <c r="A9" s="55">
        <v>7040</v>
      </c>
      <c r="B9" s="22"/>
      <c r="C9" s="22"/>
      <c r="D9" s="121"/>
      <c r="E9" s="47">
        <v>6680</v>
      </c>
      <c r="F9" s="20">
        <v>3.8247764674488933</v>
      </c>
      <c r="G9" s="20">
        <v>14.628915025950835</v>
      </c>
      <c r="H9" s="20">
        <v>55.952329935566269</v>
      </c>
      <c r="J9" s="4" t="s">
        <v>21</v>
      </c>
      <c r="K9" s="24">
        <v>-0.1</v>
      </c>
      <c r="L9" t="s">
        <v>36</v>
      </c>
      <c r="AO9">
        <v>1.8016371900000001</v>
      </c>
      <c r="AP9">
        <v>1.5233887188235293</v>
      </c>
      <c r="AQ9">
        <v>1.3323664482352942</v>
      </c>
      <c r="AR9">
        <v>1.1843853426470587</v>
      </c>
      <c r="AS9">
        <v>1.0650983470588236</v>
      </c>
      <c r="AT9">
        <v>0.94581135147058815</v>
      </c>
      <c r="AU9">
        <v>0.83268036294117642</v>
      </c>
      <c r="AV9">
        <v>0.74417340264705878</v>
      </c>
      <c r="AW9">
        <v>0.65566644235294114</v>
      </c>
      <c r="AX9">
        <v>0.56715948205882349</v>
      </c>
      <c r="AY9">
        <v>0.48761784058823526</v>
      </c>
      <c r="AZ9">
        <v>0.4103175288235294</v>
      </c>
      <c r="BA9">
        <v>0.33301721705882364</v>
      </c>
      <c r="BB9">
        <v>0.256989917563343</v>
      </c>
      <c r="BC9">
        <v>0.18312232055941535</v>
      </c>
      <c r="BD9">
        <v>0.10964149027970768</v>
      </c>
      <c r="BE9">
        <v>3.6160660000000004E-2</v>
      </c>
      <c r="BF9">
        <v>-3.8228804322730361E-2</v>
      </c>
      <c r="BG9">
        <v>-0.11261826864546072</v>
      </c>
      <c r="BH9">
        <v>-0.18827167790948524</v>
      </c>
      <c r="BI9">
        <v>-0.26793554558823546</v>
      </c>
      <c r="BJ9">
        <v>-0.34972798823529427</v>
      </c>
      <c r="BK9">
        <v>-0.43152043088235315</v>
      </c>
      <c r="BL9">
        <v>-0.51650272029411792</v>
      </c>
      <c r="BM9">
        <v>-0.6142443967647061</v>
      </c>
      <c r="BN9">
        <v>-0.71198607323529384</v>
      </c>
      <c r="BO9">
        <v>-0.80972774970588202</v>
      </c>
      <c r="BP9">
        <v>-0.9406229108823525</v>
      </c>
      <c r="BQ9">
        <v>-1.0798064432352938</v>
      </c>
      <c r="BR9">
        <v>-1.2189899755882352</v>
      </c>
      <c r="BS9">
        <v>-1.397025083235294</v>
      </c>
      <c r="BT9">
        <v>-1.6333375538235295</v>
      </c>
      <c r="BU9">
        <v>-1.9908702132352945</v>
      </c>
    </row>
    <row r="10" spans="1:73" ht="15" x14ac:dyDescent="0.3">
      <c r="A10" s="55">
        <v>7389</v>
      </c>
      <c r="B10" s="22"/>
      <c r="C10" s="22"/>
      <c r="D10" s="121"/>
      <c r="E10" s="47">
        <v>8230</v>
      </c>
      <c r="F10" s="20">
        <v>3.9153998403034542</v>
      </c>
      <c r="G10" s="20">
        <v>15.330355909448315</v>
      </c>
      <c r="H10" s="20">
        <v>60.024473079649049</v>
      </c>
      <c r="J10" t="s">
        <v>22</v>
      </c>
      <c r="K10" s="23">
        <v>0.30199999999999999</v>
      </c>
    </row>
    <row r="11" spans="1:73" x14ac:dyDescent="0.25">
      <c r="A11" s="55">
        <v>7789</v>
      </c>
      <c r="B11" s="22"/>
      <c r="C11" s="22"/>
      <c r="D11" s="121"/>
      <c r="E11" s="47">
        <v>8010</v>
      </c>
      <c r="F11" s="20">
        <v>3.9036325211601213</v>
      </c>
      <c r="G11" s="20">
        <v>15.238346860258925</v>
      </c>
      <c r="H11" s="20">
        <v>59.484906372424966</v>
      </c>
      <c r="J11" s="4" t="s">
        <v>17</v>
      </c>
      <c r="K11" s="25">
        <f>IF(ABS(K6)&gt;0.9,-0.52+0.3*ABS(K6),-0.33+0.08*ABS(K6))</f>
        <v>-0.31574770756953557</v>
      </c>
    </row>
    <row r="12" spans="1:73" x14ac:dyDescent="0.25">
      <c r="A12" s="55">
        <v>18083</v>
      </c>
      <c r="B12" s="22"/>
      <c r="C12" s="22"/>
      <c r="D12" s="121">
        <v>17.3</v>
      </c>
      <c r="E12" s="47">
        <v>16500</v>
      </c>
      <c r="F12" s="20">
        <v>4.2174839496978898</v>
      </c>
      <c r="G12" s="20">
        <v>17.787170865959311</v>
      </c>
      <c r="H12" s="20">
        <v>75.017107637717302</v>
      </c>
      <c r="J12" s="4" t="s">
        <v>18</v>
      </c>
      <c r="K12" s="27">
        <f>IF(ABS(K6)&gt;1.5,0.55,0.94-0.26*ABS(K6))</f>
        <v>0.89368004960099046</v>
      </c>
    </row>
    <row r="13" spans="1:73" ht="15" x14ac:dyDescent="0.3">
      <c r="A13" s="55">
        <v>18389</v>
      </c>
      <c r="B13" s="22"/>
      <c r="C13" s="22"/>
      <c r="D13" s="121">
        <v>14</v>
      </c>
      <c r="E13" s="47">
        <v>11700</v>
      </c>
      <c r="F13" s="20">
        <v>4.0681858670360143</v>
      </c>
      <c r="G13" s="20">
        <v>16.550136248751567</v>
      </c>
      <c r="H13" s="20">
        <v>67.329030384691563</v>
      </c>
      <c r="J13" s="4" t="s">
        <v>19</v>
      </c>
      <c r="K13" s="26">
        <f>POWER(10,(K11-K12*LOG10(K4/10)))</f>
        <v>7.5366576502477467E-2</v>
      </c>
    </row>
    <row r="14" spans="1:73" ht="15" x14ac:dyDescent="0.3">
      <c r="A14" s="55">
        <v>18747</v>
      </c>
      <c r="B14" s="22"/>
      <c r="C14" s="22"/>
      <c r="D14" s="121">
        <v>14.3</v>
      </c>
      <c r="E14" s="47">
        <v>12200</v>
      </c>
      <c r="F14" s="20">
        <v>4.0863598359882314</v>
      </c>
      <c r="G14" s="20">
        <v>16.698336709177767</v>
      </c>
      <c r="H14" s="20">
        <v>68.235412456191924</v>
      </c>
      <c r="J14" s="4" t="s">
        <v>20</v>
      </c>
      <c r="K14" s="25">
        <f>(K10*K6+K13*K9)/(K10+K13)</f>
        <v>0.12260160055391608</v>
      </c>
      <c r="L14" s="54" t="s">
        <v>23</v>
      </c>
    </row>
    <row r="15" spans="1:73" x14ac:dyDescent="0.25">
      <c r="A15" s="55">
        <v>19103</v>
      </c>
      <c r="B15" s="22"/>
      <c r="C15" s="22"/>
      <c r="D15" s="121">
        <v>13.9</v>
      </c>
      <c r="E15" s="47">
        <v>11500</v>
      </c>
      <c r="F15" s="20">
        <v>4.0606978456337268</v>
      </c>
      <c r="G15" s="20">
        <v>16.48926699353439</v>
      </c>
      <c r="H15" s="20">
        <v>66.957930956724411</v>
      </c>
      <c r="J15" s="66"/>
      <c r="K15" s="66"/>
      <c r="L15" s="66"/>
      <c r="M15" s="66"/>
      <c r="N15" s="66"/>
      <c r="O15" s="66"/>
    </row>
    <row r="16" spans="1:73" ht="15" x14ac:dyDescent="0.3">
      <c r="A16" s="55">
        <v>19541</v>
      </c>
      <c r="B16" s="22"/>
      <c r="C16" s="22"/>
      <c r="D16" s="121">
        <v>15.5</v>
      </c>
      <c r="E16" s="47">
        <v>13800</v>
      </c>
      <c r="F16" s="20">
        <v>4.1398790917843113</v>
      </c>
      <c r="G16" s="20">
        <v>17.138598894592896</v>
      </c>
      <c r="H16" s="20">
        <v>70.951727226202834</v>
      </c>
      <c r="J16" s="67" t="s">
        <v>46</v>
      </c>
      <c r="L16" s="4" t="s">
        <v>115</v>
      </c>
      <c r="M16" s="28">
        <f>LOOKUP($K4,'K values'!$A36:$A175,'K values'!$B36:$B175)</f>
        <v>2.94</v>
      </c>
      <c r="O16" s="68"/>
    </row>
    <row r="17" spans="1:18" ht="15" x14ac:dyDescent="0.3">
      <c r="A17" s="55">
        <v>19845</v>
      </c>
      <c r="B17" s="22"/>
      <c r="C17" s="22"/>
      <c r="D17" s="121">
        <v>16.05</v>
      </c>
      <c r="E17" s="47">
        <v>14600</v>
      </c>
      <c r="F17" s="20">
        <v>4.164352861199335</v>
      </c>
      <c r="G17" s="20">
        <v>17.341834752579089</v>
      </c>
      <c r="H17" s="20">
        <v>72.217519170348794</v>
      </c>
      <c r="J17" s="62" t="s">
        <v>94</v>
      </c>
      <c r="K17" s="63"/>
      <c r="L17" s="63"/>
      <c r="M17" s="62" t="s">
        <v>95</v>
      </c>
      <c r="N17" s="63"/>
      <c r="O17" s="63"/>
      <c r="P17" s="60"/>
    </row>
    <row r="18" spans="1:18" x14ac:dyDescent="0.25">
      <c r="A18" s="55">
        <v>20189</v>
      </c>
      <c r="B18" s="22"/>
      <c r="C18" s="22"/>
      <c r="D18" s="121">
        <v>10.18</v>
      </c>
      <c r="E18" s="47">
        <v>6770</v>
      </c>
      <c r="F18" s="20">
        <v>3.8305886736660493</v>
      </c>
      <c r="G18" s="20">
        <v>14.673409586818623</v>
      </c>
      <c r="H18" s="20">
        <v>56.207796567330242</v>
      </c>
      <c r="J18" s="60"/>
      <c r="L18" t="s">
        <v>66</v>
      </c>
      <c r="M18" s="60"/>
      <c r="O18" t="s">
        <v>66</v>
      </c>
      <c r="P18" s="60"/>
    </row>
    <row r="19" spans="1:18" ht="15" x14ac:dyDescent="0.3">
      <c r="A19" s="55">
        <v>20589</v>
      </c>
      <c r="B19" s="22"/>
      <c r="C19" s="22"/>
      <c r="D19" s="121">
        <v>9.2899999999999991</v>
      </c>
      <c r="E19" s="47">
        <v>5500</v>
      </c>
      <c r="F19" s="20">
        <v>3.7403626943578283</v>
      </c>
      <c r="G19" s="20">
        <v>13.990313085343754</v>
      </c>
      <c r="H19" s="20">
        <v>52.328845146805946</v>
      </c>
      <c r="J19" s="61" t="s">
        <v>68</v>
      </c>
      <c r="K19" s="26">
        <f>M16*K5+K3</f>
        <v>4.4650686815350351</v>
      </c>
      <c r="L19" s="32">
        <f>POWER(10,K19)</f>
        <v>29178.88427210159</v>
      </c>
      <c r="M19" s="61" t="s">
        <v>69</v>
      </c>
      <c r="N19" s="26">
        <f>K3-M16*K5</f>
        <v>3.301524197184317</v>
      </c>
      <c r="O19" s="41">
        <f>POWER(10,N19)</f>
        <v>2002.2771775084796</v>
      </c>
      <c r="P19" s="60"/>
      <c r="R19" s="2"/>
    </row>
    <row r="20" spans="1:18" ht="15" x14ac:dyDescent="0.3">
      <c r="A20" s="55">
        <v>20930</v>
      </c>
      <c r="B20" s="22"/>
      <c r="C20" s="22"/>
      <c r="D20" s="121">
        <v>9.5500000000000007</v>
      </c>
      <c r="E20" s="47">
        <v>5930</v>
      </c>
      <c r="F20" s="20">
        <v>3.7730546982703563</v>
      </c>
      <c r="G20" s="20">
        <v>14.23594175614001</v>
      </c>
      <c r="H20" s="20">
        <v>53.712986927307213</v>
      </c>
      <c r="J20" s="60" t="s">
        <v>67</v>
      </c>
      <c r="K20" s="31" t="str">
        <f>IF(MAX(E5:E179)&gt;L19,"YES","NO")</f>
        <v>NO</v>
      </c>
      <c r="L20" s="20"/>
      <c r="M20" s="60" t="s">
        <v>67</v>
      </c>
      <c r="N20" s="31" t="str">
        <f>IF(MIN(E5:E179)&lt;O19,"YES","NO")</f>
        <v>NO</v>
      </c>
      <c r="O20" s="20"/>
      <c r="P20" s="60"/>
      <c r="R20" s="2"/>
    </row>
    <row r="21" spans="1:18" x14ac:dyDescent="0.25">
      <c r="A21" s="55">
        <v>21368</v>
      </c>
      <c r="B21" s="22"/>
      <c r="C21" s="22"/>
      <c r="D21" s="121">
        <v>10</v>
      </c>
      <c r="E21" s="47">
        <v>6410</v>
      </c>
      <c r="F21" s="20">
        <v>3.8068580344688656</v>
      </c>
      <c r="G21" s="20">
        <v>14.492168094600155</v>
      </c>
      <c r="H21" s="20">
        <v>55.169626547801947</v>
      </c>
      <c r="J21" s="61" t="s">
        <v>96</v>
      </c>
      <c r="K21" s="25">
        <v>0</v>
      </c>
      <c r="L21" s="21"/>
      <c r="M21" s="61" t="s">
        <v>97</v>
      </c>
      <c r="N21" s="32">
        <v>0</v>
      </c>
      <c r="O21" s="58"/>
      <c r="P21" s="60"/>
      <c r="R21" s="2"/>
    </row>
    <row r="22" spans="1:18" x14ac:dyDescent="0.25">
      <c r="A22" s="55">
        <v>21702</v>
      </c>
      <c r="B22" s="22"/>
      <c r="C22" s="22"/>
      <c r="D22" s="121">
        <v>7.24</v>
      </c>
      <c r="E22" s="47">
        <v>3480</v>
      </c>
      <c r="F22" s="20">
        <v>3.5415792485516873</v>
      </c>
      <c r="G22" s="20">
        <v>12.542783573771933</v>
      </c>
      <c r="H22" s="20">
        <v>44.421262023945651</v>
      </c>
      <c r="J22" s="63"/>
      <c r="K22" s="63"/>
      <c r="L22" s="63"/>
      <c r="M22" s="64"/>
      <c r="N22" s="65"/>
      <c r="O22" s="64"/>
      <c r="R22" s="2"/>
    </row>
    <row r="23" spans="1:18" ht="15" x14ac:dyDescent="0.3">
      <c r="A23" s="55">
        <v>22030</v>
      </c>
      <c r="B23" s="22"/>
      <c r="C23" s="22"/>
      <c r="D23" s="121">
        <v>21.7</v>
      </c>
      <c r="E23" s="47">
        <v>27700</v>
      </c>
      <c r="F23" s="20">
        <v>4.4424797748409937</v>
      </c>
      <c r="G23" s="20">
        <v>19.735626549871284</v>
      </c>
      <c r="H23" s="20">
        <v>87.675121791618125</v>
      </c>
      <c r="J23" s="57" t="s">
        <v>150</v>
      </c>
      <c r="L23" s="3"/>
      <c r="M23" s="5"/>
      <c r="N23" s="3"/>
      <c r="O23" s="5"/>
      <c r="R23" s="2"/>
    </row>
    <row r="24" spans="1:18" ht="15" x14ac:dyDescent="0.3">
      <c r="A24" s="55">
        <v>22417</v>
      </c>
      <c r="B24" s="22"/>
      <c r="C24" s="22"/>
      <c r="D24" s="121">
        <v>9.6999999999999993</v>
      </c>
      <c r="E24" s="47">
        <v>6670</v>
      </c>
      <c r="F24" s="20">
        <v>3.8241258388890502</v>
      </c>
      <c r="G24" s="20">
        <v>14.623938431658882</v>
      </c>
      <c r="H24" s="20">
        <v>55.923780822829343</v>
      </c>
      <c r="J24" s="43" t="s">
        <v>101</v>
      </c>
      <c r="K24" s="3"/>
      <c r="L24" s="3"/>
      <c r="M24" s="9" t="s">
        <v>99</v>
      </c>
      <c r="N24" s="9" t="s">
        <v>100</v>
      </c>
      <c r="O24" s="5" t="s">
        <v>103</v>
      </c>
      <c r="R24" s="2"/>
    </row>
    <row r="25" spans="1:18" x14ac:dyDescent="0.25">
      <c r="A25" s="55">
        <v>22780</v>
      </c>
      <c r="B25" s="22"/>
      <c r="C25" s="22"/>
      <c r="D25" s="121">
        <v>8.34</v>
      </c>
      <c r="E25" s="47">
        <v>4970</v>
      </c>
      <c r="F25" s="20">
        <v>3.6963563935396953</v>
      </c>
      <c r="G25" s="20">
        <v>13.663050588061783</v>
      </c>
      <c r="H25" s="20">
        <v>50.503504396438466</v>
      </c>
      <c r="M25" s="74">
        <v>1</v>
      </c>
      <c r="N25" s="74">
        <v>0</v>
      </c>
      <c r="O25" s="72">
        <v>0</v>
      </c>
    </row>
    <row r="26" spans="1:18" ht="15.75" x14ac:dyDescent="0.25">
      <c r="A26" s="55">
        <v>23103</v>
      </c>
      <c r="B26" s="22"/>
      <c r="C26" s="22"/>
      <c r="D26" s="121">
        <v>10.1</v>
      </c>
      <c r="E26" s="47">
        <v>7190</v>
      </c>
      <c r="F26" s="20">
        <v>3.8567288953977776</v>
      </c>
      <c r="G26" s="20">
        <v>14.874357772596163</v>
      </c>
      <c r="H26" s="20">
        <v>57.366365422056148</v>
      </c>
      <c r="K26" s="1" t="s">
        <v>0</v>
      </c>
      <c r="L26" s="1"/>
      <c r="M26" s="1"/>
      <c r="N26" s="1" t="s">
        <v>2</v>
      </c>
      <c r="O26" s="1" t="s">
        <v>1</v>
      </c>
      <c r="P26" s="1" t="s">
        <v>5</v>
      </c>
      <c r="Q26" s="1" t="s">
        <v>9</v>
      </c>
      <c r="R26" s="1" t="s">
        <v>11</v>
      </c>
    </row>
    <row r="27" spans="1:18" ht="14.25" thickBot="1" x14ac:dyDescent="0.3">
      <c r="A27" s="55">
        <v>23503</v>
      </c>
      <c r="B27" s="22"/>
      <c r="C27" s="22"/>
      <c r="D27" s="121">
        <v>11.9</v>
      </c>
      <c r="E27" s="47">
        <v>9660</v>
      </c>
      <c r="F27" s="20">
        <v>3.9849771315971494</v>
      </c>
      <c r="G27" s="20">
        <v>15.880042739352245</v>
      </c>
      <c r="H27" s="20">
        <v>63.281607165104049</v>
      </c>
      <c r="J27" s="14" t="s">
        <v>98</v>
      </c>
      <c r="K27" s="14" t="s">
        <v>47</v>
      </c>
      <c r="L27" s="14" t="s">
        <v>48</v>
      </c>
      <c r="M27" s="14" t="s">
        <v>49</v>
      </c>
      <c r="N27" s="14" t="s">
        <v>4</v>
      </c>
      <c r="O27" s="14" t="s">
        <v>3</v>
      </c>
      <c r="P27" s="13"/>
      <c r="Q27" s="13"/>
      <c r="R27" s="13"/>
    </row>
    <row r="28" spans="1:18" x14ac:dyDescent="0.25">
      <c r="A28" s="55">
        <v>23855</v>
      </c>
      <c r="B28" s="22"/>
      <c r="C28" s="22"/>
      <c r="D28" s="121">
        <v>10.23</v>
      </c>
      <c r="E28" s="47">
        <v>6520</v>
      </c>
      <c r="F28" s="20">
        <v>3.8142476006915769</v>
      </c>
      <c r="G28" s="20">
        <v>14.54848475938145</v>
      </c>
      <c r="H28" s="20">
        <v>55.491523087168673</v>
      </c>
      <c r="J28" s="72" t="s">
        <v>259</v>
      </c>
      <c r="K28" s="51">
        <v>42563</v>
      </c>
      <c r="L28" s="22"/>
      <c r="M28" s="22"/>
      <c r="N28" s="22">
        <v>27.28</v>
      </c>
      <c r="O28" s="126">
        <v>40000</v>
      </c>
      <c r="P28" s="20">
        <v>4.6020599973120095</v>
      </c>
      <c r="Q28" s="20">
        <v>21.178956218859412</v>
      </c>
      <c r="R28" s="20">
        <v>97.466827199635318</v>
      </c>
    </row>
    <row r="29" spans="1:18" x14ac:dyDescent="0.25">
      <c r="A29" s="55">
        <v>24184</v>
      </c>
      <c r="D29" s="121">
        <v>10.65</v>
      </c>
      <c r="E29" s="47">
        <v>7110</v>
      </c>
      <c r="F29" s="20">
        <v>3.8518696057383432</v>
      </c>
      <c r="G29" s="20">
        <v>14.83689945961086</v>
      </c>
      <c r="H29" s="20">
        <v>57.149802071870724</v>
      </c>
    </row>
    <row r="30" spans="1:18" x14ac:dyDescent="0.25">
      <c r="A30" s="55">
        <v>24564</v>
      </c>
      <c r="D30" s="121">
        <v>14.5</v>
      </c>
      <c r="E30" s="47">
        <v>11000</v>
      </c>
      <c r="F30" s="20">
        <v>4.0413926904132378</v>
      </c>
      <c r="G30" s="20">
        <v>16.332854878125548</v>
      </c>
      <c r="H30" s="20">
        <v>66.007480318036784</v>
      </c>
    </row>
    <row r="31" spans="1:18" x14ac:dyDescent="0.25">
      <c r="A31" s="55">
        <v>24974</v>
      </c>
      <c r="D31" s="121">
        <v>8.84</v>
      </c>
      <c r="E31" s="47">
        <v>4840</v>
      </c>
      <c r="F31" s="20">
        <v>3.6848453664358076</v>
      </c>
      <c r="G31" s="20">
        <v>13.578085374543441</v>
      </c>
      <c r="H31" s="20">
        <v>50.03314497745621</v>
      </c>
    </row>
    <row r="32" spans="1:18" x14ac:dyDescent="0.25">
      <c r="A32" s="55">
        <v>25303</v>
      </c>
      <c r="B32" s="22"/>
      <c r="C32" s="22"/>
      <c r="D32" s="121">
        <v>11.43</v>
      </c>
      <c r="E32" s="47">
        <v>8240</v>
      </c>
      <c r="F32" s="20">
        <v>3.9159272167889863</v>
      </c>
      <c r="G32" s="20">
        <v>15.334485967188737</v>
      </c>
      <c r="H32" s="20">
        <v>60.04873095438316</v>
      </c>
    </row>
    <row r="33" spans="1:8" x14ac:dyDescent="0.25">
      <c r="A33" s="55">
        <v>25668</v>
      </c>
      <c r="D33" s="121">
        <v>7.98</v>
      </c>
      <c r="E33" s="47">
        <v>3990</v>
      </c>
      <c r="F33" s="20">
        <v>3.6009729003690847</v>
      </c>
      <c r="G33" s="20">
        <v>12.967005829192537</v>
      </c>
      <c r="H33" s="20">
        <v>46.693836589850278</v>
      </c>
    </row>
    <row r="34" spans="1:8" x14ac:dyDescent="0.25">
      <c r="A34" s="55">
        <v>26035</v>
      </c>
      <c r="D34" s="121">
        <v>13.08</v>
      </c>
      <c r="E34" s="47">
        <v>10700</v>
      </c>
      <c r="F34" s="20">
        <v>4.0293837829246071</v>
      </c>
      <c r="G34" s="20">
        <v>16.235933670095818</v>
      </c>
      <c r="H34" s="20">
        <v>65.420807830923692</v>
      </c>
    </row>
    <row r="35" spans="1:8" x14ac:dyDescent="0.25">
      <c r="A35" s="55">
        <v>26503</v>
      </c>
      <c r="D35" s="121">
        <v>12.1</v>
      </c>
      <c r="E35" s="47">
        <v>9250</v>
      </c>
      <c r="F35" s="20">
        <v>3.9661417378961974</v>
      </c>
      <c r="G35" s="20">
        <v>15.730280285082269</v>
      </c>
      <c r="H35" s="20">
        <v>62.388521187470481</v>
      </c>
    </row>
    <row r="36" spans="1:8" x14ac:dyDescent="0.25">
      <c r="A36" s="55">
        <v>26738</v>
      </c>
      <c r="D36" s="121">
        <v>11.2</v>
      </c>
      <c r="E36" s="47">
        <v>8000</v>
      </c>
      <c r="F36" s="20">
        <v>3.9030899920671218</v>
      </c>
      <c r="G36" s="20">
        <v>15.234111486174525</v>
      </c>
      <c r="H36" s="20">
        <v>59.460108079722573</v>
      </c>
    </row>
    <row r="37" spans="1:8" x14ac:dyDescent="0.25">
      <c r="A37" s="55">
        <v>27191</v>
      </c>
      <c r="D37" s="121">
        <v>11.36</v>
      </c>
      <c r="E37" s="47">
        <v>8190</v>
      </c>
      <c r="F37" s="20">
        <v>3.9132839068488519</v>
      </c>
      <c r="G37" s="20">
        <v>15.313790935602213</v>
      </c>
      <c r="H37" s="20">
        <v>59.927211621139968</v>
      </c>
    </row>
    <row r="38" spans="1:8" x14ac:dyDescent="0.25">
      <c r="A38" s="55">
        <v>27508</v>
      </c>
      <c r="D38" s="121">
        <v>10.25</v>
      </c>
      <c r="E38" s="47">
        <v>6550</v>
      </c>
      <c r="F38" s="20">
        <v>3.816241304954032</v>
      </c>
      <c r="G38" s="20">
        <v>14.563697697637254</v>
      </c>
      <c r="H38" s="20">
        <v>55.578584706587229</v>
      </c>
    </row>
    <row r="39" spans="1:8" x14ac:dyDescent="0.25">
      <c r="A39" s="55">
        <v>27849</v>
      </c>
      <c r="D39" s="121">
        <v>12.12</v>
      </c>
      <c r="E39" s="47">
        <v>9910</v>
      </c>
      <c r="F39" s="20">
        <v>3.9960736596813597</v>
      </c>
      <c r="G39" s="20">
        <v>15.968604693599175</v>
      </c>
      <c r="H39" s="20">
        <v>63.811720597955798</v>
      </c>
    </row>
    <row r="40" spans="1:8" x14ac:dyDescent="0.25">
      <c r="A40" s="55">
        <v>28368</v>
      </c>
      <c r="D40" s="121">
        <v>11.35</v>
      </c>
      <c r="E40" s="47">
        <v>7380</v>
      </c>
      <c r="F40" s="20">
        <v>3.8680563668526653</v>
      </c>
      <c r="G40" s="20">
        <v>14.96186005714944</v>
      </c>
      <c r="H40" s="20">
        <v>57.873318054015478</v>
      </c>
    </row>
    <row r="41" spans="1:8" x14ac:dyDescent="0.25">
      <c r="A41" s="55">
        <v>28590</v>
      </c>
      <c r="D41" s="121">
        <v>10.56</v>
      </c>
      <c r="E41" s="47">
        <v>7170</v>
      </c>
      <c r="F41" s="20">
        <v>3.8555191606811223</v>
      </c>
      <c r="G41" s="20">
        <v>14.865027998379267</v>
      </c>
      <c r="H41" s="20">
        <v>57.312400271812614</v>
      </c>
    </row>
    <row r="42" spans="1:8" x14ac:dyDescent="0.25">
      <c r="A42" s="55">
        <v>28966</v>
      </c>
      <c r="D42" s="121">
        <v>12</v>
      </c>
      <c r="E42" s="47">
        <v>8180</v>
      </c>
      <c r="F42" s="20">
        <v>3.9127533087590667</v>
      </c>
      <c r="G42" s="20">
        <v>15.309638455205024</v>
      </c>
      <c r="H42" s="20">
        <v>59.9028385215085</v>
      </c>
    </row>
    <row r="43" spans="1:8" x14ac:dyDescent="0.25">
      <c r="A43" s="55">
        <v>29319</v>
      </c>
      <c r="D43" s="121">
        <v>9.7799999999999994</v>
      </c>
      <c r="E43" s="47">
        <v>5580</v>
      </c>
      <c r="F43" s="20">
        <v>3.7466342038093177</v>
      </c>
      <c r="G43" s="20">
        <v>14.03726785715388</v>
      </c>
      <c r="H43" s="20">
        <v>52.592507881645858</v>
      </c>
    </row>
    <row r="44" spans="1:8" x14ac:dyDescent="0.25">
      <c r="A44" s="55">
        <v>29675</v>
      </c>
      <c r="D44" s="121">
        <v>11.52</v>
      </c>
      <c r="E44" s="47">
        <v>7580</v>
      </c>
      <c r="F44" s="20">
        <v>3.8796692106767781</v>
      </c>
      <c r="G44" s="20">
        <v>15.051833184273374</v>
      </c>
      <c r="H44" s="20">
        <v>58.396133769268417</v>
      </c>
    </row>
    <row r="45" spans="1:8" x14ac:dyDescent="0.25">
      <c r="A45" s="55">
        <v>30058</v>
      </c>
      <c r="D45" s="121">
        <v>12.2</v>
      </c>
      <c r="E45" s="47">
        <v>8480</v>
      </c>
      <c r="F45" s="20">
        <v>3.9283958573647975</v>
      </c>
      <c r="G45" s="20">
        <v>15.432294012160902</v>
      </c>
      <c r="H45" s="20">
        <v>60.624159867008458</v>
      </c>
    </row>
    <row r="46" spans="1:8" x14ac:dyDescent="0.25">
      <c r="A46" s="55">
        <v>30276</v>
      </c>
      <c r="D46" s="121">
        <v>11.16</v>
      </c>
      <c r="E46" s="47">
        <v>7150</v>
      </c>
      <c r="F46" s="20">
        <v>3.8543060468128254</v>
      </c>
      <c r="G46" s="20">
        <v>14.85567510249791</v>
      </c>
      <c r="H46" s="20">
        <v>57.258318377044432</v>
      </c>
    </row>
    <row r="47" spans="1:8" x14ac:dyDescent="0.25">
      <c r="A47" s="55">
        <v>30785</v>
      </c>
      <c r="D47" s="121">
        <v>10.49</v>
      </c>
      <c r="E47" s="47">
        <v>6350</v>
      </c>
      <c r="F47" s="20">
        <v>3.8027737302367131</v>
      </c>
      <c r="G47" s="20">
        <v>14.461088043378446</v>
      </c>
      <c r="H47" s="20">
        <v>54.99224572199978</v>
      </c>
    </row>
    <row r="48" spans="1:8" x14ac:dyDescent="0.25">
      <c r="A48" s="55">
        <v>31320</v>
      </c>
      <c r="D48" s="121">
        <v>10.34</v>
      </c>
      <c r="E48" s="47">
        <v>6170</v>
      </c>
      <c r="F48" s="20">
        <v>3.7902851689617405</v>
      </c>
      <c r="G48" s="20">
        <v>14.366261662051329</v>
      </c>
      <c r="H48" s="20">
        <v>54.452228511096799</v>
      </c>
    </row>
    <row r="49" spans="1:8" x14ac:dyDescent="0.25">
      <c r="A49" s="55">
        <v>31503</v>
      </c>
      <c r="D49" s="121">
        <v>14.66</v>
      </c>
      <c r="E49" s="47">
        <v>11500</v>
      </c>
      <c r="F49" s="20">
        <v>4.0606978456337268</v>
      </c>
      <c r="G49" s="20">
        <v>16.48926699353439</v>
      </c>
      <c r="H49" s="20">
        <v>66.957930956724411</v>
      </c>
    </row>
    <row r="50" spans="1:8" x14ac:dyDescent="0.25">
      <c r="A50" s="55">
        <v>31697</v>
      </c>
      <c r="D50" s="121">
        <v>7.69</v>
      </c>
      <c r="E50" s="47">
        <v>3510</v>
      </c>
      <c r="F50" s="20">
        <v>3.5453071210757785</v>
      </c>
      <c r="G50" s="20">
        <v>12.569202582750625</v>
      </c>
      <c r="H50" s="20">
        <v>44.561683422869862</v>
      </c>
    </row>
    <row r="51" spans="1:8" x14ac:dyDescent="0.25">
      <c r="A51" s="55">
        <v>32240</v>
      </c>
      <c r="D51" s="121">
        <v>10.53</v>
      </c>
      <c r="E51" s="47">
        <v>6360</v>
      </c>
      <c r="F51" s="20">
        <v>3.8034571205940395</v>
      </c>
      <c r="G51" s="20">
        <v>14.466286068197501</v>
      </c>
      <c r="H51" s="20">
        <v>55.02189875463614</v>
      </c>
    </row>
    <row r="52" spans="1:8" x14ac:dyDescent="0.25">
      <c r="A52" s="55">
        <v>32615</v>
      </c>
      <c r="D52" s="121">
        <v>8.25</v>
      </c>
      <c r="E52" s="47">
        <v>4060</v>
      </c>
      <c r="F52" s="20">
        <v>3.6085260382693516</v>
      </c>
      <c r="G52" s="20">
        <v>13.021460168867902</v>
      </c>
      <c r="H52" s="20">
        <v>46.988278075647052</v>
      </c>
    </row>
    <row r="53" spans="1:8" x14ac:dyDescent="0.25">
      <c r="A53" s="55">
        <v>32948</v>
      </c>
      <c r="D53" s="121">
        <v>13.06</v>
      </c>
      <c r="E53" s="47">
        <v>5800</v>
      </c>
      <c r="F53" s="20">
        <v>3.7634279984565131</v>
      </c>
      <c r="G53" s="20">
        <v>14.163390299566396</v>
      </c>
      <c r="H53" s="20">
        <v>53.302899606455554</v>
      </c>
    </row>
    <row r="54" spans="1:8" x14ac:dyDescent="0.25">
      <c r="A54" s="55">
        <v>33164</v>
      </c>
      <c r="D54" s="121">
        <v>10.44</v>
      </c>
      <c r="E54" s="47">
        <v>6260</v>
      </c>
      <c r="F54" s="20">
        <v>3.796574338147106</v>
      </c>
      <c r="G54" s="20">
        <v>14.413976705077136</v>
      </c>
      <c r="H54" s="20">
        <v>54.723734069146033</v>
      </c>
    </row>
    <row r="55" spans="1:8" x14ac:dyDescent="0.25">
      <c r="A55" s="55">
        <v>33788</v>
      </c>
      <c r="D55" s="121">
        <v>18.41</v>
      </c>
      <c r="E55" s="47">
        <v>20100</v>
      </c>
      <c r="F55" s="20">
        <v>4.3031960630159238</v>
      </c>
      <c r="G55" s="20">
        <v>18.517496356755746</v>
      </c>
      <c r="H55" s="20">
        <v>79.684417419303045</v>
      </c>
    </row>
    <row r="56" spans="1:8" x14ac:dyDescent="0.25">
      <c r="A56" s="55">
        <v>34091</v>
      </c>
      <c r="D56" s="121">
        <v>8.34</v>
      </c>
      <c r="E56" s="47">
        <v>4020</v>
      </c>
      <c r="F56" s="20">
        <v>3.6042260577710361</v>
      </c>
      <c r="G56" s="20">
        <v>12.990445475515743</v>
      </c>
      <c r="H56" s="20">
        <v>46.820502084907702</v>
      </c>
    </row>
    <row r="57" spans="1:8" x14ac:dyDescent="0.25">
      <c r="A57" s="55">
        <v>34451</v>
      </c>
      <c r="D57" s="121">
        <v>9.11</v>
      </c>
      <c r="E57" s="47">
        <v>4760</v>
      </c>
      <c r="F57" s="20">
        <v>3.6776069575024768</v>
      </c>
      <c r="G57" s="20">
        <v>13.524792933870625</v>
      </c>
      <c r="H57" s="20">
        <v>49.738872592382947</v>
      </c>
    </row>
    <row r="58" spans="1:8" x14ac:dyDescent="0.25">
      <c r="A58" s="55">
        <v>34829</v>
      </c>
      <c r="D58" s="121">
        <v>9.42</v>
      </c>
      <c r="E58" s="47">
        <v>5090</v>
      </c>
      <c r="F58" s="20">
        <v>3.7067177871565953</v>
      </c>
      <c r="G58" s="20">
        <v>13.739756753623086</v>
      </c>
      <c r="H58" s="20">
        <v>50.929400749859646</v>
      </c>
    </row>
    <row r="59" spans="1:8" x14ac:dyDescent="0.25">
      <c r="A59" s="55">
        <v>35175</v>
      </c>
      <c r="D59" s="121">
        <v>14.75</v>
      </c>
      <c r="E59" s="47">
        <v>13000</v>
      </c>
      <c r="F59" s="20">
        <v>4.1139433576561872</v>
      </c>
      <c r="G59" s="20">
        <v>16.924529950003464</v>
      </c>
      <c r="H59" s="20">
        <v>69.626557569269949</v>
      </c>
    </row>
    <row r="60" spans="1:8" x14ac:dyDescent="0.25">
      <c r="A60" s="55">
        <v>35526</v>
      </c>
      <c r="D60" s="121">
        <v>13.73</v>
      </c>
      <c r="E60" s="47">
        <v>11200</v>
      </c>
      <c r="F60" s="20">
        <v>4.0492180279353693</v>
      </c>
      <c r="G60" s="20">
        <v>16.396166637756803</v>
      </c>
      <c r="H60" s="20">
        <v>66.3916535386373</v>
      </c>
    </row>
    <row r="61" spans="1:8" x14ac:dyDescent="0.25">
      <c r="A61" s="55">
        <v>35884</v>
      </c>
      <c r="D61" s="121">
        <v>13</v>
      </c>
      <c r="E61" s="47">
        <v>10100</v>
      </c>
      <c r="F61" s="20">
        <v>4.0043213789894514</v>
      </c>
      <c r="G61" s="20">
        <v>16.03458970623198</v>
      </c>
      <c r="H61" s="20">
        <v>64.207650363988904</v>
      </c>
    </row>
    <row r="62" spans="1:8" x14ac:dyDescent="0.25">
      <c r="A62" s="55">
        <v>36256</v>
      </c>
      <c r="D62" s="121">
        <v>10.06</v>
      </c>
      <c r="E62" s="47">
        <v>5870</v>
      </c>
      <c r="F62" s="20">
        <v>3.7686381061479652</v>
      </c>
      <c r="G62" s="20">
        <v>14.202633175110522</v>
      </c>
      <c r="H62" s="20">
        <v>53.524584591362782</v>
      </c>
    </row>
    <row r="63" spans="1:8" x14ac:dyDescent="0.25">
      <c r="A63" s="55">
        <v>36716</v>
      </c>
      <c r="D63" s="121">
        <v>9.7899999999999991</v>
      </c>
      <c r="E63" s="47">
        <v>5540</v>
      </c>
      <c r="F63" s="20">
        <v>3.7435097695961064</v>
      </c>
      <c r="G63" s="20">
        <v>14.013865395061494</v>
      </c>
      <c r="H63" s="20">
        <v>52.461042016217498</v>
      </c>
    </row>
    <row r="64" spans="1:8" x14ac:dyDescent="0.25">
      <c r="A64" s="55">
        <v>37005</v>
      </c>
      <c r="D64" s="121">
        <v>14.4</v>
      </c>
      <c r="E64" s="47">
        <v>12400</v>
      </c>
      <c r="F64" s="20">
        <v>4.0934216904849015</v>
      </c>
      <c r="G64" s="20">
        <v>16.756101136132269</v>
      </c>
      <c r="H64" s="20">
        <v>68.589787838602533</v>
      </c>
    </row>
    <row r="65" spans="1:15" x14ac:dyDescent="0.25">
      <c r="A65" s="55">
        <v>37361</v>
      </c>
      <c r="D65" s="121">
        <v>15.71</v>
      </c>
      <c r="E65" s="47">
        <v>14700</v>
      </c>
      <c r="F65" s="20">
        <v>4.167317340166929</v>
      </c>
      <c r="G65" s="20">
        <v>17.366533813655966</v>
      </c>
      <c r="H65" s="20">
        <v>72.37185750024382</v>
      </c>
    </row>
    <row r="66" spans="1:15" x14ac:dyDescent="0.25">
      <c r="A66" s="55">
        <v>37753</v>
      </c>
      <c r="D66" s="121">
        <v>18.670000000000002</v>
      </c>
      <c r="E66" s="47">
        <v>20600</v>
      </c>
      <c r="F66" s="20">
        <v>4.3138672259784645</v>
      </c>
      <c r="G66" s="20">
        <v>18.609450443371134</v>
      </c>
      <c r="H66" s="20">
        <v>80.278698361129145</v>
      </c>
    </row>
    <row r="67" spans="1:15" x14ac:dyDescent="0.25">
      <c r="A67" s="55">
        <v>38075</v>
      </c>
      <c r="D67" s="121">
        <v>11.3</v>
      </c>
      <c r="E67" s="47">
        <v>8020</v>
      </c>
      <c r="F67" s="20">
        <v>3.9041743733607515</v>
      </c>
      <c r="G67" s="20">
        <v>15.242577537606817</v>
      </c>
      <c r="H67" s="20">
        <v>59.509680606288761</v>
      </c>
    </row>
    <row r="68" spans="1:15" x14ac:dyDescent="0.25">
      <c r="A68" s="55">
        <v>38557</v>
      </c>
      <c r="D68" s="121">
        <v>10.32</v>
      </c>
      <c r="E68" s="47">
        <v>6810</v>
      </c>
      <c r="F68" s="20">
        <v>3.8331471168970168</v>
      </c>
      <c r="G68" s="20">
        <v>14.693016819775913</v>
      </c>
      <c r="H68" s="20">
        <v>56.320495061243413</v>
      </c>
    </row>
    <row r="69" spans="1:15" x14ac:dyDescent="0.25">
      <c r="A69" s="55">
        <v>38631</v>
      </c>
      <c r="D69" s="121">
        <v>10.42</v>
      </c>
      <c r="E69" s="47">
        <v>6930</v>
      </c>
      <c r="F69" s="20">
        <v>3.8407332396059028</v>
      </c>
      <c r="G69" s="20">
        <v>14.751231817813654</v>
      </c>
      <c r="H69" s="20">
        <v>56.655546367809109</v>
      </c>
    </row>
    <row r="70" spans="1:15" x14ac:dyDescent="0.25">
      <c r="A70" s="55">
        <v>39168</v>
      </c>
      <c r="D70" s="121">
        <v>8.7899999999999991</v>
      </c>
      <c r="E70" s="47">
        <v>5010</v>
      </c>
      <c r="F70" s="20">
        <v>3.6998377306781354</v>
      </c>
      <c r="G70" s="20">
        <v>13.688799233349535</v>
      </c>
      <c r="H70" s="20">
        <v>50.646335891224545</v>
      </c>
    </row>
    <row r="71" spans="1:15" x14ac:dyDescent="0.25">
      <c r="A71" s="55">
        <v>39561</v>
      </c>
      <c r="D71" s="121">
        <v>11</v>
      </c>
      <c r="E71" s="47">
        <v>7650</v>
      </c>
      <c r="F71" s="20">
        <v>3.8836614402035332</v>
      </c>
      <c r="G71" s="20">
        <v>15.082826182123782</v>
      </c>
      <c r="H71" s="20">
        <v>58.576590452806407</v>
      </c>
    </row>
    <row r="72" spans="1:15" x14ac:dyDescent="0.25">
      <c r="A72" s="55">
        <v>39928</v>
      </c>
      <c r="D72" s="121">
        <v>6.15</v>
      </c>
      <c r="E72" s="47">
        <v>2380</v>
      </c>
      <c r="F72" s="20">
        <v>3.3765769614470664</v>
      </c>
      <c r="G72" s="20">
        <v>11.401271976575105</v>
      </c>
      <c r="H72" s="20">
        <v>38.497272287295559</v>
      </c>
    </row>
    <row r="73" spans="1:15" x14ac:dyDescent="0.25">
      <c r="A73" s="55">
        <v>40445</v>
      </c>
      <c r="D73" s="121">
        <v>9.09</v>
      </c>
      <c r="E73" s="47">
        <v>5350</v>
      </c>
      <c r="F73" s="20">
        <v>3.728353786869198</v>
      </c>
      <c r="G73" s="20">
        <v>13.900621960061889</v>
      </c>
      <c r="H73" s="20">
        <v>51.826436524633877</v>
      </c>
    </row>
    <row r="74" spans="1:15" x14ac:dyDescent="0.25">
      <c r="A74" s="55">
        <v>40644</v>
      </c>
      <c r="D74" s="121">
        <v>10.68</v>
      </c>
      <c r="E74" s="47">
        <v>7320</v>
      </c>
      <c r="F74" s="20">
        <v>3.864511086083406</v>
      </c>
      <c r="G74" s="20">
        <v>14.934445934461547</v>
      </c>
      <c r="H74" s="20">
        <v>57.714331878239896</v>
      </c>
    </row>
    <row r="75" spans="1:15" x14ac:dyDescent="0.25">
      <c r="A75" s="55">
        <v>41081</v>
      </c>
      <c r="D75" s="121">
        <v>10.89</v>
      </c>
      <c r="E75" s="47">
        <v>6480</v>
      </c>
      <c r="F75" s="20">
        <v>3.8115750108267754</v>
      </c>
      <c r="G75" s="20">
        <v>14.528104063159134</v>
      </c>
      <c r="H75" s="20">
        <v>55.374958401828295</v>
      </c>
    </row>
    <row r="76" spans="1:15" x14ac:dyDescent="0.25">
      <c r="A76" s="55">
        <v>41415</v>
      </c>
      <c r="D76" s="121">
        <v>14.6</v>
      </c>
      <c r="E76" s="47">
        <v>12800</v>
      </c>
      <c r="F76" s="20">
        <v>4.1072099749884634</v>
      </c>
      <c r="G76" s="20">
        <v>16.869173778644733</v>
      </c>
      <c r="H76" s="20">
        <v>69.285238813463479</v>
      </c>
    </row>
    <row r="77" spans="1:15" x14ac:dyDescent="0.25">
      <c r="A77" s="55">
        <v>41768</v>
      </c>
      <c r="D77" s="121">
        <v>12.65</v>
      </c>
      <c r="E77" s="47">
        <v>10100</v>
      </c>
      <c r="F77" s="20">
        <v>4.0043213789894514</v>
      </c>
      <c r="G77" s="20">
        <v>16.03458970623198</v>
      </c>
      <c r="H77" s="20">
        <v>64.207650363988904</v>
      </c>
    </row>
    <row r="78" spans="1:15" x14ac:dyDescent="0.25">
      <c r="A78" s="55">
        <v>42080</v>
      </c>
      <c r="D78" s="121">
        <v>7.13</v>
      </c>
      <c r="E78" s="47">
        <v>3000</v>
      </c>
      <c r="F78" s="20">
        <v>3.4771212592409544</v>
      </c>
      <c r="G78" s="20">
        <v>12.0903722514654</v>
      </c>
      <c r="H78" s="20">
        <v>42.039690387707267</v>
      </c>
    </row>
    <row r="79" spans="1:15" x14ac:dyDescent="0.25">
      <c r="A79" s="55">
        <v>42873</v>
      </c>
      <c r="D79" s="121">
        <v>13.28</v>
      </c>
      <c r="E79" s="47">
        <v>10700</v>
      </c>
      <c r="F79" s="20">
        <v>4.0293837829246071</v>
      </c>
      <c r="G79" s="20">
        <v>16.235933670095818</v>
      </c>
      <c r="H79" s="20">
        <v>65.420807830923692</v>
      </c>
      <c r="J79" s="51"/>
      <c r="M79" s="22"/>
      <c r="N79" s="22"/>
      <c r="O79" s="45"/>
    </row>
    <row r="80" spans="1:15" x14ac:dyDescent="0.25">
      <c r="A80" s="55">
        <v>43269</v>
      </c>
      <c r="D80" s="121">
        <v>15.52</v>
      </c>
      <c r="E80" s="47">
        <v>14300</v>
      </c>
      <c r="F80" s="20">
        <v>4.1553360428682353</v>
      </c>
      <c r="G80" s="20">
        <v>17.266817629159846</v>
      </c>
      <c r="H80" s="20">
        <v>71.749429640080564</v>
      </c>
      <c r="J80" s="51"/>
      <c r="M80" s="22"/>
      <c r="N80" s="22"/>
      <c r="O80" s="45"/>
    </row>
    <row r="81" spans="1:15" x14ac:dyDescent="0.25">
      <c r="A81" s="55">
        <v>43578</v>
      </c>
      <c r="D81" s="121">
        <v>15.25</v>
      </c>
      <c r="E81" s="47">
        <v>13800</v>
      </c>
      <c r="F81" s="20">
        <v>4.1398790917843113</v>
      </c>
      <c r="G81" s="20">
        <v>17.138598894592896</v>
      </c>
      <c r="H81" s="20">
        <v>70.951727226202834</v>
      </c>
      <c r="J81" s="51"/>
      <c r="M81" s="22"/>
      <c r="N81" s="22"/>
      <c r="O81" s="45"/>
    </row>
    <row r="82" spans="1:15" x14ac:dyDescent="0.25">
      <c r="A82" s="55">
        <v>43920</v>
      </c>
      <c r="D82" s="121">
        <v>11.08</v>
      </c>
      <c r="E82" s="47">
        <v>7650</v>
      </c>
      <c r="F82" s="20">
        <v>3.8836614402035332</v>
      </c>
      <c r="G82" s="20">
        <v>15.082826182123782</v>
      </c>
      <c r="H82" s="20">
        <v>58.576590452806407</v>
      </c>
      <c r="J82" s="51"/>
      <c r="M82" s="22"/>
      <c r="N82" s="22"/>
      <c r="O82" s="45"/>
    </row>
    <row r="83" spans="1:15" x14ac:dyDescent="0.25">
      <c r="A83" s="55">
        <v>44280</v>
      </c>
      <c r="D83" s="121">
        <v>9.01</v>
      </c>
      <c r="E83" s="47">
        <v>5180</v>
      </c>
      <c r="F83" s="20">
        <v>3.7143297645749671</v>
      </c>
      <c r="G83" s="20">
        <v>13.796245600007531</v>
      </c>
      <c r="H83" s="20">
        <v>51.2438056714944</v>
      </c>
      <c r="J83" s="52"/>
      <c r="N83" s="45"/>
      <c r="O83" s="45"/>
    </row>
    <row r="84" spans="1:15" x14ac:dyDescent="0.25">
      <c r="A84" s="55">
        <v>44665</v>
      </c>
      <c r="D84" s="121">
        <v>10.33</v>
      </c>
      <c r="E84" s="47">
        <v>6550</v>
      </c>
      <c r="F84" s="20">
        <v>3.816241304954032</v>
      </c>
      <c r="G84" s="20">
        <v>14.563697697637254</v>
      </c>
      <c r="H84" s="20">
        <v>55.578584706587229</v>
      </c>
      <c r="J84" s="52"/>
      <c r="M84" s="22"/>
      <c r="N84" s="45"/>
      <c r="O84" s="45"/>
    </row>
    <row r="85" spans="1:15" x14ac:dyDescent="0.25">
      <c r="A85" s="55"/>
      <c r="D85" s="121"/>
      <c r="E85" s="47"/>
      <c r="F85" s="20"/>
      <c r="G85" s="20"/>
      <c r="H85" s="20"/>
      <c r="J85" s="51"/>
      <c r="M85" s="22"/>
      <c r="N85" s="22"/>
      <c r="O85" s="45"/>
    </row>
    <row r="86" spans="1:15" x14ac:dyDescent="0.25">
      <c r="A86" s="55"/>
      <c r="D86" s="121"/>
      <c r="E86" s="47"/>
      <c r="F86" s="20"/>
      <c r="G86" s="20"/>
      <c r="H86" s="20"/>
      <c r="J86" s="51"/>
      <c r="M86" s="22"/>
      <c r="N86" s="22"/>
      <c r="O86" s="45"/>
    </row>
    <row r="87" spans="1:15" x14ac:dyDescent="0.25">
      <c r="A87" s="55"/>
      <c r="D87" s="121"/>
      <c r="E87" s="47"/>
      <c r="F87" s="20"/>
      <c r="G87" s="20"/>
      <c r="H87" s="20"/>
      <c r="J87" s="51"/>
      <c r="M87" s="22"/>
      <c r="N87" s="22"/>
      <c r="O87" s="45"/>
    </row>
    <row r="88" spans="1:15" x14ac:dyDescent="0.25">
      <c r="A88" s="55"/>
      <c r="D88" s="121"/>
      <c r="E88" s="47"/>
      <c r="F88" s="20"/>
      <c r="G88" s="20"/>
      <c r="H88" s="20"/>
      <c r="K88" s="46"/>
      <c r="L88" s="45"/>
      <c r="M88" s="44"/>
      <c r="N88" s="46"/>
      <c r="O88" s="45"/>
    </row>
    <row r="89" spans="1:15" x14ac:dyDescent="0.25">
      <c r="A89" s="55"/>
      <c r="D89" s="121"/>
      <c r="E89" s="47"/>
      <c r="F89" s="20"/>
      <c r="G89" s="20"/>
      <c r="H89" s="20"/>
      <c r="K89" s="46"/>
      <c r="L89" s="45"/>
      <c r="M89" s="44"/>
      <c r="N89" s="46"/>
      <c r="O89" s="45"/>
    </row>
    <row r="90" spans="1:15" x14ac:dyDescent="0.25">
      <c r="A90" s="55"/>
      <c r="D90" s="121"/>
      <c r="E90" s="47"/>
      <c r="F90" s="20"/>
      <c r="G90" s="20"/>
      <c r="H90" s="20"/>
      <c r="K90" s="46"/>
      <c r="L90" s="45"/>
      <c r="M90" s="44"/>
      <c r="N90" s="46"/>
      <c r="O90" s="45"/>
    </row>
    <row r="91" spans="1:15" x14ac:dyDescent="0.25">
      <c r="A91" s="55"/>
      <c r="D91" s="121"/>
      <c r="E91" s="47"/>
      <c r="F91" s="20"/>
      <c r="G91" s="20"/>
      <c r="H91" s="20"/>
      <c r="M91" s="3"/>
      <c r="N91" s="5"/>
    </row>
    <row r="92" spans="1:15" x14ac:dyDescent="0.25">
      <c r="A92" s="55"/>
      <c r="D92" s="121"/>
      <c r="E92" s="47"/>
      <c r="F92" s="20"/>
      <c r="G92" s="20"/>
      <c r="H92" s="20"/>
      <c r="M92" s="3"/>
      <c r="N92" s="5"/>
    </row>
    <row r="93" spans="1:15" x14ac:dyDescent="0.25">
      <c r="A93" s="55"/>
      <c r="D93" s="121"/>
      <c r="E93" s="47"/>
      <c r="F93" s="20"/>
      <c r="G93" s="20"/>
      <c r="H93" s="20"/>
      <c r="M93" s="3"/>
      <c r="N93" s="5"/>
    </row>
    <row r="94" spans="1:15" x14ac:dyDescent="0.25">
      <c r="A94" s="55"/>
      <c r="D94" s="121"/>
      <c r="E94" s="47"/>
      <c r="F94" s="20"/>
      <c r="G94" s="20"/>
      <c r="H94" s="20"/>
      <c r="M94" s="3"/>
      <c r="N94" s="5"/>
    </row>
    <row r="95" spans="1:15" x14ac:dyDescent="0.25">
      <c r="A95" s="55"/>
      <c r="D95" s="121"/>
      <c r="E95" s="47"/>
      <c r="F95" s="20"/>
      <c r="G95" s="20"/>
      <c r="H95" s="20"/>
      <c r="M95" s="3"/>
      <c r="N95" s="5"/>
    </row>
    <row r="96" spans="1:15" x14ac:dyDescent="0.25">
      <c r="A96" s="55"/>
      <c r="D96" s="121"/>
      <c r="E96" s="47"/>
      <c r="F96" s="20"/>
      <c r="G96" s="20"/>
      <c r="H96" s="20"/>
      <c r="M96" s="3"/>
      <c r="N96" s="5"/>
    </row>
    <row r="97" spans="1:22" x14ac:dyDescent="0.25">
      <c r="A97" s="55"/>
      <c r="D97" s="121"/>
      <c r="E97" s="47"/>
      <c r="F97" s="20"/>
      <c r="G97" s="20"/>
      <c r="H97" s="20"/>
      <c r="M97" s="3"/>
      <c r="N97" s="5"/>
    </row>
    <row r="98" spans="1:22" x14ac:dyDescent="0.25">
      <c r="A98" s="55"/>
      <c r="D98" s="121"/>
      <c r="E98" s="47"/>
      <c r="F98" s="20"/>
      <c r="G98" s="20"/>
      <c r="H98" s="20"/>
      <c r="M98" s="3"/>
      <c r="N98" s="5"/>
    </row>
    <row r="99" spans="1:22" x14ac:dyDescent="0.25">
      <c r="A99" s="55"/>
      <c r="D99" s="121"/>
      <c r="E99" s="47"/>
      <c r="F99" s="20"/>
      <c r="G99" s="20"/>
      <c r="H99" s="20"/>
      <c r="M99" s="3"/>
      <c r="N99" s="5"/>
    </row>
    <row r="100" spans="1:22" x14ac:dyDescent="0.25">
      <c r="A100" s="55"/>
      <c r="D100" s="121"/>
      <c r="E100" s="47"/>
      <c r="F100" s="20"/>
      <c r="G100" s="20"/>
      <c r="H100" s="20"/>
      <c r="M100" s="3"/>
      <c r="N100" s="5"/>
    </row>
    <row r="101" spans="1:22" x14ac:dyDescent="0.25">
      <c r="A101" s="55"/>
      <c r="D101" s="121"/>
      <c r="E101" s="47"/>
      <c r="F101" s="20"/>
      <c r="G101" s="20"/>
      <c r="H101" s="20"/>
      <c r="M101" s="3"/>
      <c r="N101" s="5"/>
    </row>
    <row r="102" spans="1:22" x14ac:dyDescent="0.25">
      <c r="A102" s="55"/>
      <c r="D102" s="121"/>
      <c r="E102" s="47"/>
      <c r="F102" s="20"/>
      <c r="G102" s="20"/>
      <c r="H102" s="20"/>
      <c r="M102" s="3"/>
      <c r="N102" s="5"/>
    </row>
    <row r="103" spans="1:22" x14ac:dyDescent="0.25">
      <c r="A103" s="55"/>
      <c r="D103" s="121"/>
      <c r="E103" s="47"/>
      <c r="F103" s="20"/>
      <c r="G103" s="20"/>
      <c r="H103" s="20"/>
      <c r="M103" s="3"/>
      <c r="N103" s="5"/>
    </row>
    <row r="104" spans="1:22" x14ac:dyDescent="0.25">
      <c r="A104" s="55"/>
      <c r="D104" s="121"/>
      <c r="E104" s="47"/>
      <c r="F104" s="20"/>
      <c r="G104" s="20"/>
      <c r="H104" s="20"/>
      <c r="M104" s="3"/>
      <c r="N104" s="5"/>
    </row>
    <row r="105" spans="1:22" x14ac:dyDescent="0.25">
      <c r="A105" s="52"/>
      <c r="D105" s="121"/>
      <c r="E105" s="22"/>
      <c r="F105" s="20"/>
      <c r="G105" s="20"/>
      <c r="H105" s="20"/>
      <c r="M105" s="3"/>
      <c r="N105" s="5"/>
    </row>
    <row r="106" spans="1:22" x14ac:dyDescent="0.25">
      <c r="A106" s="52"/>
      <c r="D106" s="121"/>
      <c r="E106" s="22"/>
      <c r="F106" s="20"/>
      <c r="G106" s="20"/>
      <c r="H106" s="20"/>
      <c r="M106" s="3"/>
      <c r="N106" s="5"/>
      <c r="O106" s="5"/>
    </row>
    <row r="107" spans="1:22" x14ac:dyDescent="0.25">
      <c r="A107" s="52"/>
      <c r="D107" s="121"/>
      <c r="E107" s="22"/>
      <c r="F107" s="20"/>
      <c r="G107" s="20"/>
      <c r="H107" s="20"/>
      <c r="M107" s="3"/>
      <c r="N107" s="5"/>
    </row>
    <row r="108" spans="1:22" x14ac:dyDescent="0.25">
      <c r="A108" s="52"/>
      <c r="D108" s="121"/>
      <c r="E108" s="22"/>
      <c r="F108" s="20"/>
      <c r="G108" s="20"/>
      <c r="H108" s="20"/>
      <c r="J108" s="2"/>
      <c r="L108" s="11"/>
    </row>
    <row r="109" spans="1:22" x14ac:dyDescent="0.25">
      <c r="A109" s="52"/>
      <c r="D109" s="121"/>
      <c r="E109" s="22"/>
      <c r="F109" s="20"/>
      <c r="G109" s="20"/>
      <c r="H109" s="20"/>
    </row>
    <row r="110" spans="1:22" x14ac:dyDescent="0.25">
      <c r="A110" s="52"/>
      <c r="D110" s="121"/>
      <c r="E110" s="22"/>
      <c r="F110" s="20"/>
      <c r="G110" s="20"/>
      <c r="H110" s="20"/>
    </row>
    <row r="111" spans="1:22" x14ac:dyDescent="0.25">
      <c r="A111" s="52"/>
      <c r="D111" s="121"/>
      <c r="E111" s="22"/>
      <c r="F111" s="20"/>
      <c r="G111" s="20"/>
      <c r="H111" s="20"/>
      <c r="I111" s="9"/>
      <c r="J111" s="9"/>
      <c r="K111" s="9"/>
      <c r="L111" s="9"/>
      <c r="M111" s="9"/>
      <c r="N111" s="9"/>
      <c r="O111" s="9"/>
      <c r="P111" s="9"/>
      <c r="Q111" s="9"/>
      <c r="R111" s="9"/>
      <c r="S111" s="9"/>
      <c r="T111" s="9"/>
      <c r="U111" s="9"/>
      <c r="V111" s="9"/>
    </row>
    <row r="112" spans="1:22" x14ac:dyDescent="0.25">
      <c r="A112" s="52"/>
      <c r="D112" s="121"/>
      <c r="E112" s="22"/>
      <c r="F112" s="20"/>
      <c r="G112" s="20"/>
      <c r="H112" s="20"/>
    </row>
    <row r="113" spans="1:8" x14ac:dyDescent="0.25">
      <c r="A113" s="52"/>
      <c r="D113" s="121"/>
      <c r="E113" s="22"/>
      <c r="F113" s="20"/>
      <c r="G113" s="20"/>
      <c r="H113" s="20"/>
    </row>
    <row r="114" spans="1:8" x14ac:dyDescent="0.25">
      <c r="A114" s="52"/>
      <c r="D114" s="121"/>
      <c r="E114" s="22"/>
      <c r="F114" s="20"/>
      <c r="G114" s="20"/>
      <c r="H114" s="20"/>
    </row>
    <row r="115" spans="1:8" x14ac:dyDescent="0.25">
      <c r="A115" s="52"/>
      <c r="D115" s="121"/>
      <c r="E115" s="22"/>
      <c r="F115" s="20"/>
      <c r="G115" s="20"/>
      <c r="H115" s="20"/>
    </row>
    <row r="116" spans="1:8" x14ac:dyDescent="0.25">
      <c r="A116" s="52"/>
      <c r="D116" s="121"/>
      <c r="E116" s="22"/>
      <c r="F116" s="20"/>
      <c r="G116" s="20"/>
      <c r="H116" s="20"/>
    </row>
    <row r="117" spans="1:8" x14ac:dyDescent="0.25">
      <c r="A117" s="52"/>
      <c r="D117" s="121"/>
      <c r="E117" s="22"/>
      <c r="F117" s="20"/>
      <c r="G117" s="20"/>
      <c r="H117" s="20"/>
    </row>
    <row r="118" spans="1:8" x14ac:dyDescent="0.25">
      <c r="A118" s="52"/>
      <c r="D118" s="121"/>
      <c r="E118" s="22"/>
      <c r="F118" s="20"/>
      <c r="G118" s="20"/>
      <c r="H118" s="20"/>
    </row>
    <row r="119" spans="1:8" x14ac:dyDescent="0.25">
      <c r="A119" s="52"/>
      <c r="D119" s="121"/>
      <c r="E119" s="22"/>
      <c r="F119" s="20"/>
      <c r="G119" s="20"/>
      <c r="H119" s="20"/>
    </row>
    <row r="120" spans="1:8" x14ac:dyDescent="0.25">
      <c r="A120" s="52"/>
      <c r="D120" s="121"/>
      <c r="E120" s="22"/>
      <c r="F120" s="20"/>
      <c r="G120" s="20"/>
      <c r="H120" s="20"/>
    </row>
    <row r="121" spans="1:8" x14ac:dyDescent="0.25">
      <c r="A121" s="52"/>
      <c r="D121" s="121"/>
      <c r="E121" s="22"/>
      <c r="F121" s="20"/>
      <c r="G121" s="20"/>
      <c r="H121" s="20"/>
    </row>
    <row r="122" spans="1:8" x14ac:dyDescent="0.25">
      <c r="A122" s="52"/>
      <c r="D122" s="121"/>
      <c r="E122" s="22"/>
      <c r="F122" s="20"/>
      <c r="G122" s="20"/>
      <c r="H122" s="20"/>
    </row>
    <row r="123" spans="1:8" x14ac:dyDescent="0.25">
      <c r="A123" s="52"/>
      <c r="D123" s="121"/>
      <c r="E123" s="22"/>
      <c r="F123" s="20"/>
      <c r="G123" s="20"/>
      <c r="H123" s="20"/>
    </row>
    <row r="124" spans="1:8" x14ac:dyDescent="0.25">
      <c r="A124" s="52"/>
      <c r="D124" s="121"/>
      <c r="E124" s="22"/>
      <c r="F124" s="20"/>
      <c r="G124" s="20"/>
      <c r="H124" s="20"/>
    </row>
    <row r="125" spans="1:8" x14ac:dyDescent="0.25">
      <c r="A125" s="52"/>
      <c r="D125" s="121"/>
      <c r="E125" s="22"/>
      <c r="F125" s="20"/>
      <c r="G125" s="20"/>
      <c r="H125" s="20"/>
    </row>
    <row r="126" spans="1:8" x14ac:dyDescent="0.25">
      <c r="A126" s="52"/>
      <c r="D126" s="121"/>
      <c r="E126" s="22"/>
      <c r="F126" s="20"/>
      <c r="G126" s="20"/>
      <c r="H126" s="20"/>
    </row>
    <row r="127" spans="1:8" x14ac:dyDescent="0.25">
      <c r="A127" s="52"/>
      <c r="D127" s="121"/>
      <c r="E127" s="22"/>
      <c r="F127" s="20"/>
      <c r="G127" s="20"/>
      <c r="H127" s="20"/>
    </row>
    <row r="128" spans="1:8" x14ac:dyDescent="0.25">
      <c r="A128" s="52"/>
      <c r="D128" s="121"/>
      <c r="E128" s="22"/>
      <c r="F128" s="20"/>
      <c r="G128" s="20"/>
      <c r="H128" s="20"/>
    </row>
    <row r="129" spans="1:8" x14ac:dyDescent="0.25">
      <c r="A129" s="52"/>
      <c r="D129" s="121"/>
      <c r="E129" s="22"/>
      <c r="F129" s="20"/>
      <c r="G129" s="20"/>
      <c r="H129" s="20"/>
    </row>
    <row r="130" spans="1:8" x14ac:dyDescent="0.25">
      <c r="A130" s="52"/>
      <c r="D130" s="121"/>
      <c r="E130" s="22"/>
      <c r="F130" s="20"/>
      <c r="G130" s="20"/>
      <c r="H130" s="20"/>
    </row>
    <row r="131" spans="1:8" x14ac:dyDescent="0.25">
      <c r="A131" s="52"/>
      <c r="D131" s="121"/>
      <c r="E131" s="22"/>
      <c r="F131" s="20"/>
      <c r="G131" s="20"/>
      <c r="H131" s="20"/>
    </row>
    <row r="132" spans="1:8" x14ac:dyDescent="0.25">
      <c r="A132" s="52"/>
      <c r="D132" s="121"/>
      <c r="E132" s="22"/>
      <c r="F132" s="20"/>
      <c r="G132" s="20"/>
      <c r="H132" s="20"/>
    </row>
    <row r="133" spans="1:8" x14ac:dyDescent="0.25">
      <c r="A133" s="52"/>
      <c r="D133" s="121"/>
      <c r="E133" s="22"/>
      <c r="F133" s="20"/>
      <c r="G133" s="20"/>
      <c r="H133" s="20"/>
    </row>
    <row r="134" spans="1:8" x14ac:dyDescent="0.25">
      <c r="A134" s="52"/>
      <c r="D134" s="121"/>
      <c r="E134" s="22"/>
      <c r="F134" s="20"/>
      <c r="G134" s="20"/>
      <c r="H134" s="20"/>
    </row>
    <row r="135" spans="1:8" x14ac:dyDescent="0.25">
      <c r="A135" s="52"/>
      <c r="D135" s="121"/>
      <c r="E135" s="22"/>
      <c r="F135" s="20"/>
      <c r="G135" s="20"/>
      <c r="H135" s="20"/>
    </row>
    <row r="136" spans="1:8" x14ac:dyDescent="0.25">
      <c r="A136" s="52"/>
      <c r="D136" s="121"/>
      <c r="E136" s="22"/>
      <c r="F136" s="20"/>
      <c r="G136" s="20"/>
      <c r="H136" s="20"/>
    </row>
    <row r="137" spans="1:8" x14ac:dyDescent="0.25">
      <c r="A137" s="52"/>
      <c r="D137" s="121"/>
      <c r="E137" s="22"/>
      <c r="F137" s="20"/>
      <c r="G137" s="20"/>
      <c r="H137" s="20"/>
    </row>
    <row r="138" spans="1:8" x14ac:dyDescent="0.25">
      <c r="A138" s="52"/>
      <c r="D138" s="121"/>
      <c r="E138" s="22"/>
      <c r="F138" s="20"/>
      <c r="G138" s="20"/>
      <c r="H138" s="20"/>
    </row>
    <row r="139" spans="1:8" x14ac:dyDescent="0.25">
      <c r="A139" s="52"/>
      <c r="D139" s="121"/>
      <c r="E139" s="22"/>
      <c r="F139" s="20"/>
      <c r="G139" s="20"/>
      <c r="H139" s="20"/>
    </row>
    <row r="140" spans="1:8" x14ac:dyDescent="0.25">
      <c r="A140" s="52"/>
      <c r="D140" s="121"/>
      <c r="E140" s="22"/>
      <c r="F140" s="20"/>
      <c r="G140" s="20"/>
      <c r="H140" s="20"/>
    </row>
    <row r="141" spans="1:8" x14ac:dyDescent="0.25">
      <c r="A141" s="52"/>
      <c r="D141" s="121"/>
      <c r="E141" s="22"/>
      <c r="F141" s="20"/>
      <c r="G141" s="20"/>
      <c r="H141" s="20"/>
    </row>
    <row r="142" spans="1:8" x14ac:dyDescent="0.25">
      <c r="A142" s="52"/>
      <c r="D142" s="121"/>
      <c r="E142" s="22"/>
      <c r="F142" s="20"/>
      <c r="G142" s="20"/>
      <c r="H142" s="20"/>
    </row>
    <row r="143" spans="1:8" x14ac:dyDescent="0.25">
      <c r="A143" s="52"/>
      <c r="D143" s="121"/>
      <c r="E143" s="22"/>
      <c r="F143" s="20"/>
      <c r="G143" s="20"/>
      <c r="H143" s="20"/>
    </row>
    <row r="144" spans="1:8" x14ac:dyDescent="0.25">
      <c r="A144" s="52"/>
      <c r="D144" s="121"/>
      <c r="E144" s="22"/>
      <c r="F144" s="20"/>
      <c r="G144" s="20"/>
      <c r="H144" s="20"/>
    </row>
    <row r="145" spans="1:8" x14ac:dyDescent="0.25">
      <c r="A145" s="52"/>
      <c r="D145" s="121"/>
      <c r="E145" s="22"/>
      <c r="F145" s="20"/>
      <c r="G145" s="20"/>
      <c r="H145" s="20"/>
    </row>
    <row r="146" spans="1:8" x14ac:dyDescent="0.25">
      <c r="A146" s="52"/>
      <c r="D146" s="121"/>
      <c r="E146" s="22"/>
      <c r="F146" s="20"/>
      <c r="G146" s="20"/>
      <c r="H146" s="20"/>
    </row>
    <row r="147" spans="1:8" x14ac:dyDescent="0.25">
      <c r="A147" s="52"/>
      <c r="D147" s="121"/>
      <c r="E147" s="22"/>
      <c r="F147" s="20"/>
      <c r="G147" s="20"/>
      <c r="H147" s="20"/>
    </row>
    <row r="148" spans="1:8" x14ac:dyDescent="0.25">
      <c r="A148" s="52"/>
      <c r="D148" s="121"/>
      <c r="E148" s="22"/>
      <c r="F148" s="20"/>
      <c r="G148" s="20"/>
      <c r="H148" s="20"/>
    </row>
    <row r="149" spans="1:8" x14ac:dyDescent="0.25">
      <c r="A149" s="52"/>
      <c r="D149" s="121"/>
      <c r="E149" s="22"/>
      <c r="F149" s="20"/>
      <c r="G149" s="20"/>
      <c r="H149" s="20"/>
    </row>
    <row r="150" spans="1:8" x14ac:dyDescent="0.25">
      <c r="A150" s="52"/>
      <c r="D150" s="121"/>
      <c r="E150" s="22"/>
      <c r="F150" s="20"/>
      <c r="G150" s="20"/>
      <c r="H150" s="20"/>
    </row>
    <row r="151" spans="1:8" x14ac:dyDescent="0.25">
      <c r="A151" s="52"/>
      <c r="D151" s="121"/>
      <c r="E151" s="22"/>
      <c r="F151" s="20"/>
      <c r="G151" s="20"/>
      <c r="H151" s="20"/>
    </row>
    <row r="152" spans="1:8" x14ac:dyDescent="0.25">
      <c r="A152" s="52"/>
      <c r="D152" s="121"/>
      <c r="E152" s="22"/>
      <c r="F152" s="20"/>
      <c r="G152" s="20"/>
      <c r="H152" s="20"/>
    </row>
    <row r="153" spans="1:8" x14ac:dyDescent="0.25">
      <c r="A153" s="52"/>
      <c r="D153" s="121"/>
      <c r="E153" s="22"/>
      <c r="F153" s="20"/>
      <c r="G153" s="20"/>
      <c r="H153" s="20"/>
    </row>
    <row r="154" spans="1:8" x14ac:dyDescent="0.25">
      <c r="A154" s="52"/>
      <c r="D154" s="121"/>
      <c r="E154" s="22"/>
      <c r="F154" s="20"/>
      <c r="G154" s="20"/>
      <c r="H154" s="20"/>
    </row>
    <row r="155" spans="1:8" x14ac:dyDescent="0.25">
      <c r="A155" s="52"/>
      <c r="D155" s="121"/>
      <c r="E155" s="22"/>
      <c r="F155" s="20"/>
      <c r="G155" s="20"/>
      <c r="H155" s="20"/>
    </row>
    <row r="156" spans="1:8" x14ac:dyDescent="0.25">
      <c r="A156" s="52"/>
      <c r="D156" s="121"/>
      <c r="E156" s="22"/>
      <c r="F156" s="20"/>
      <c r="G156" s="20"/>
      <c r="H156" s="20"/>
    </row>
    <row r="157" spans="1:8" x14ac:dyDescent="0.25">
      <c r="A157" s="52"/>
      <c r="D157" s="121"/>
      <c r="E157" s="22"/>
      <c r="F157" s="20"/>
      <c r="G157" s="20"/>
      <c r="H157" s="20"/>
    </row>
    <row r="158" spans="1:8" x14ac:dyDescent="0.25">
      <c r="A158" s="52"/>
      <c r="D158" s="121"/>
      <c r="E158" s="22"/>
      <c r="F158" s="20"/>
      <c r="G158" s="20"/>
      <c r="H158" s="20"/>
    </row>
    <row r="159" spans="1:8" x14ac:dyDescent="0.25">
      <c r="A159" s="52"/>
      <c r="D159" s="121"/>
      <c r="E159" s="22"/>
      <c r="F159" s="20"/>
      <c r="G159" s="20"/>
      <c r="H159" s="20"/>
    </row>
    <row r="160" spans="1:8" x14ac:dyDescent="0.25">
      <c r="A160" s="52"/>
      <c r="D160" s="121"/>
      <c r="E160" s="22"/>
      <c r="F160" s="20"/>
      <c r="G160" s="20"/>
      <c r="H160" s="20"/>
    </row>
    <row r="161" spans="1:8" x14ac:dyDescent="0.25">
      <c r="A161" s="52"/>
      <c r="D161" s="121"/>
      <c r="E161" s="22"/>
      <c r="F161" s="20"/>
      <c r="G161" s="20"/>
      <c r="H161" s="20"/>
    </row>
    <row r="162" spans="1:8" x14ac:dyDescent="0.25">
      <c r="A162" s="52"/>
      <c r="D162" s="121"/>
      <c r="E162" s="22"/>
      <c r="F162" s="20"/>
      <c r="G162" s="20"/>
      <c r="H162" s="20"/>
    </row>
    <row r="163" spans="1:8" x14ac:dyDescent="0.25">
      <c r="A163" s="52"/>
      <c r="D163" s="121"/>
      <c r="E163" s="22"/>
      <c r="F163" s="20"/>
      <c r="G163" s="20"/>
      <c r="H163" s="20"/>
    </row>
    <row r="164" spans="1:8" x14ac:dyDescent="0.25">
      <c r="A164" s="52"/>
      <c r="D164" s="121"/>
      <c r="E164" s="22"/>
      <c r="F164" s="20"/>
      <c r="G164" s="20"/>
      <c r="H164" s="20"/>
    </row>
    <row r="165" spans="1:8" x14ac:dyDescent="0.25">
      <c r="A165" s="52"/>
      <c r="D165" s="121"/>
      <c r="E165" s="22"/>
      <c r="F165" s="20"/>
      <c r="G165" s="20"/>
      <c r="H165" s="20"/>
    </row>
    <row r="166" spans="1:8" x14ac:dyDescent="0.25">
      <c r="A166" s="52"/>
      <c r="D166" s="121"/>
      <c r="E166" s="22"/>
      <c r="F166" s="20"/>
      <c r="G166" s="20"/>
      <c r="H166" s="20"/>
    </row>
    <row r="167" spans="1:8" x14ac:dyDescent="0.25">
      <c r="A167" s="52"/>
      <c r="D167" s="121"/>
      <c r="E167" s="22"/>
      <c r="F167" s="20"/>
      <c r="G167" s="20"/>
      <c r="H167" s="20"/>
    </row>
    <row r="168" spans="1:8" x14ac:dyDescent="0.25">
      <c r="A168" s="52"/>
      <c r="D168" s="121"/>
      <c r="E168" s="22"/>
      <c r="F168" s="20"/>
      <c r="G168" s="20"/>
      <c r="H168" s="20"/>
    </row>
    <row r="169" spans="1:8" x14ac:dyDescent="0.25">
      <c r="A169" s="52"/>
      <c r="D169" s="121"/>
      <c r="E169" s="22"/>
      <c r="F169" s="20"/>
      <c r="G169" s="20"/>
      <c r="H169" s="20"/>
    </row>
    <row r="170" spans="1:8" x14ac:dyDescent="0.25">
      <c r="A170" s="52"/>
      <c r="D170" s="121"/>
      <c r="E170" s="22"/>
      <c r="F170" s="20"/>
      <c r="G170" s="20"/>
      <c r="H170" s="20"/>
    </row>
    <row r="171" spans="1:8" x14ac:dyDescent="0.25">
      <c r="A171" s="52"/>
      <c r="D171" s="121"/>
      <c r="E171" s="22"/>
      <c r="F171" s="20"/>
      <c r="G171" s="20"/>
      <c r="H171" s="20"/>
    </row>
    <row r="172" spans="1:8" x14ac:dyDescent="0.25">
      <c r="A172" s="52"/>
      <c r="D172" s="121"/>
      <c r="E172" s="22"/>
      <c r="F172" s="20"/>
      <c r="G172" s="20"/>
      <c r="H172" s="20"/>
    </row>
    <row r="173" spans="1:8" x14ac:dyDescent="0.25">
      <c r="A173" s="52"/>
      <c r="D173" s="121"/>
      <c r="E173" s="22"/>
      <c r="F173" s="20"/>
      <c r="G173" s="20"/>
      <c r="H173" s="20"/>
    </row>
    <row r="174" spans="1:8" x14ac:dyDescent="0.25">
      <c r="A174" s="52"/>
      <c r="D174" s="121"/>
      <c r="E174" s="22"/>
      <c r="F174" s="20"/>
      <c r="G174" s="20"/>
      <c r="H174" s="20"/>
    </row>
    <row r="175" spans="1:8" x14ac:dyDescent="0.25">
      <c r="A175" s="52"/>
      <c r="D175" s="121"/>
      <c r="E175" s="22"/>
      <c r="F175" s="20"/>
      <c r="G175" s="20"/>
      <c r="H175" s="20"/>
    </row>
    <row r="176" spans="1:8" x14ac:dyDescent="0.25">
      <c r="A176" s="52"/>
      <c r="D176" s="121"/>
      <c r="E176" s="22"/>
      <c r="F176" s="20"/>
      <c r="G176" s="20"/>
      <c r="H176" s="20"/>
    </row>
    <row r="177" spans="1:15" x14ac:dyDescent="0.25">
      <c r="A177" s="52"/>
      <c r="D177" s="121"/>
      <c r="E177" s="22"/>
      <c r="F177" s="20"/>
      <c r="G177" s="20"/>
      <c r="H177" s="20"/>
    </row>
    <row r="178" spans="1:15" x14ac:dyDescent="0.25">
      <c r="A178" s="52"/>
      <c r="D178" s="121"/>
      <c r="E178" s="22"/>
      <c r="F178" s="20"/>
      <c r="G178" s="20"/>
      <c r="H178" s="20"/>
    </row>
    <row r="179" spans="1:15" x14ac:dyDescent="0.25">
      <c r="A179" s="52"/>
      <c r="D179" s="121"/>
      <c r="E179" s="22"/>
      <c r="F179" s="20"/>
      <c r="G179" s="20"/>
      <c r="H179" s="20"/>
    </row>
    <row r="180" spans="1:15" x14ac:dyDescent="0.25">
      <c r="A180" s="52"/>
      <c r="D180" s="121"/>
      <c r="E180" s="22"/>
      <c r="F180" s="20"/>
      <c r="G180" s="20"/>
      <c r="H180" s="20"/>
      <c r="I180" s="3"/>
      <c r="J180" s="3"/>
    </row>
    <row r="181" spans="1:15" x14ac:dyDescent="0.25">
      <c r="A181" s="52"/>
      <c r="D181" s="121"/>
      <c r="E181" s="22"/>
      <c r="F181" s="20"/>
      <c r="G181" s="20"/>
      <c r="H181" s="20"/>
      <c r="I181" s="3"/>
      <c r="J181" s="3"/>
    </row>
    <row r="182" spans="1:15" x14ac:dyDescent="0.25">
      <c r="A182" s="52"/>
      <c r="D182" s="121"/>
      <c r="E182" s="22"/>
      <c r="F182" s="20"/>
      <c r="G182" s="20"/>
      <c r="H182" s="20"/>
      <c r="I182" s="3"/>
      <c r="J182" s="3"/>
    </row>
    <row r="183" spans="1:15" x14ac:dyDescent="0.25">
      <c r="A183" s="52"/>
      <c r="D183" s="121"/>
      <c r="E183" s="22"/>
      <c r="F183" s="20"/>
      <c r="G183" s="20"/>
      <c r="H183" s="20"/>
      <c r="I183" s="3"/>
      <c r="J183" s="3"/>
      <c r="L183" s="1"/>
      <c r="M183" s="1"/>
      <c r="N183" s="1"/>
      <c r="O183" s="1"/>
    </row>
    <row r="184" spans="1:15" x14ac:dyDescent="0.25">
      <c r="A184" s="52"/>
      <c r="D184" s="121"/>
      <c r="E184" s="22"/>
      <c r="F184" s="20"/>
      <c r="G184" s="20"/>
      <c r="H184" s="20"/>
      <c r="I184" s="3"/>
      <c r="J184" s="3"/>
      <c r="O184" s="1"/>
    </row>
    <row r="185" spans="1:15" x14ac:dyDescent="0.25">
      <c r="A185" s="52"/>
      <c r="D185" s="121"/>
      <c r="E185" s="22"/>
      <c r="F185" s="20"/>
      <c r="G185" s="20"/>
      <c r="H185" s="20"/>
      <c r="I185" s="3"/>
      <c r="J185" s="3"/>
    </row>
    <row r="186" spans="1:15" x14ac:dyDescent="0.25">
      <c r="A186" s="52"/>
      <c r="D186" s="121"/>
      <c r="E186" s="22"/>
      <c r="F186" s="20"/>
      <c r="G186" s="20"/>
      <c r="H186" s="20"/>
      <c r="I186" s="3"/>
      <c r="J186" s="3"/>
    </row>
    <row r="187" spans="1:15" x14ac:dyDescent="0.25">
      <c r="A187" s="52"/>
      <c r="D187" s="121"/>
      <c r="E187" s="22"/>
      <c r="F187" s="20"/>
      <c r="G187" s="20"/>
      <c r="H187" s="20"/>
      <c r="I187" s="3"/>
      <c r="J187" s="3"/>
    </row>
    <row r="188" spans="1:15" x14ac:dyDescent="0.25">
      <c r="A188" s="52"/>
      <c r="D188" s="121"/>
      <c r="E188" s="22"/>
      <c r="F188" s="20"/>
      <c r="G188" s="20"/>
      <c r="H188" s="20"/>
      <c r="I188" s="3"/>
      <c r="J188" s="3"/>
    </row>
    <row r="189" spans="1:15" x14ac:dyDescent="0.25">
      <c r="A189" s="52"/>
      <c r="D189" s="121"/>
      <c r="E189" s="22"/>
      <c r="F189" s="20"/>
      <c r="G189" s="20"/>
      <c r="H189" s="20"/>
      <c r="I189" s="3"/>
      <c r="J189" s="3"/>
    </row>
    <row r="190" spans="1:15" x14ac:dyDescent="0.25">
      <c r="A190" s="52"/>
      <c r="D190" s="121"/>
      <c r="E190" s="22"/>
      <c r="F190" s="20"/>
      <c r="G190" s="20"/>
      <c r="H190" s="20"/>
      <c r="I190" s="3"/>
      <c r="J190" s="3"/>
    </row>
    <row r="191" spans="1:15" x14ac:dyDescent="0.25">
      <c r="A191" s="52"/>
      <c r="D191" s="121"/>
      <c r="E191" s="22"/>
      <c r="F191" s="20"/>
      <c r="G191" s="20"/>
      <c r="H191" s="20"/>
      <c r="I191" s="3"/>
      <c r="J191" s="3"/>
    </row>
    <row r="192" spans="1:15" x14ac:dyDescent="0.25">
      <c r="A192" s="52"/>
      <c r="D192" s="121"/>
      <c r="E192" s="22"/>
      <c r="F192" s="20"/>
      <c r="G192" s="20"/>
      <c r="H192" s="20"/>
      <c r="I192" s="3"/>
      <c r="J192" s="3"/>
    </row>
    <row r="193" spans="1:10" x14ac:dyDescent="0.25">
      <c r="A193" s="52"/>
      <c r="D193" s="121"/>
      <c r="E193" s="22"/>
      <c r="F193" s="20"/>
      <c r="G193" s="20"/>
      <c r="H193" s="20"/>
      <c r="I193" s="3"/>
      <c r="J193" s="3"/>
    </row>
    <row r="194" spans="1:10" x14ac:dyDescent="0.25">
      <c r="A194" s="52"/>
      <c r="D194" s="121"/>
      <c r="E194" s="22"/>
      <c r="F194" s="20"/>
      <c r="G194" s="20"/>
      <c r="H194" s="20"/>
      <c r="I194" s="3"/>
      <c r="J194" s="3"/>
    </row>
    <row r="195" spans="1:10" x14ac:dyDescent="0.25">
      <c r="A195" s="52"/>
      <c r="D195" s="121"/>
      <c r="E195" s="22"/>
      <c r="F195" s="20"/>
      <c r="G195" s="20"/>
      <c r="H195" s="20"/>
      <c r="I195" s="3"/>
      <c r="J195" s="3"/>
    </row>
    <row r="196" spans="1:10" x14ac:dyDescent="0.25">
      <c r="A196" s="52"/>
      <c r="D196" s="121"/>
      <c r="E196" s="22"/>
      <c r="F196" s="20"/>
      <c r="G196" s="20"/>
      <c r="H196" s="20"/>
      <c r="I196" s="3"/>
      <c r="J196" s="3"/>
    </row>
    <row r="197" spans="1:10" x14ac:dyDescent="0.25">
      <c r="A197" s="52"/>
      <c r="D197" s="121"/>
      <c r="E197" s="22"/>
      <c r="F197" s="20"/>
      <c r="G197" s="20"/>
      <c r="H197" s="20"/>
      <c r="I197" s="3"/>
      <c r="J197" s="3"/>
    </row>
    <row r="198" spans="1:10" x14ac:dyDescent="0.25">
      <c r="A198" s="52"/>
      <c r="D198" s="121"/>
      <c r="E198" s="22"/>
      <c r="F198" s="20"/>
      <c r="G198" s="20"/>
      <c r="H198" s="20"/>
      <c r="I198" s="3"/>
      <c r="J198" s="3"/>
    </row>
    <row r="199" spans="1:10" x14ac:dyDescent="0.25">
      <c r="A199" s="52"/>
      <c r="D199" s="121"/>
      <c r="E199" s="22"/>
      <c r="F199" s="20"/>
      <c r="G199" s="20"/>
      <c r="H199" s="20"/>
      <c r="I199" s="3"/>
      <c r="J199" s="3"/>
    </row>
    <row r="200" spans="1:10" x14ac:dyDescent="0.25">
      <c r="A200" s="52"/>
      <c r="D200" s="121"/>
      <c r="E200" s="22"/>
      <c r="F200" s="20"/>
      <c r="G200" s="20"/>
      <c r="H200" s="20"/>
      <c r="I200" s="3"/>
      <c r="J200" s="3"/>
    </row>
    <row r="201" spans="1:10" x14ac:dyDescent="0.25">
      <c r="A201" s="52"/>
      <c r="D201" s="121"/>
      <c r="E201" s="22"/>
      <c r="F201" s="20"/>
      <c r="G201" s="20"/>
      <c r="H201" s="20"/>
      <c r="I201" s="3"/>
      <c r="J201" s="3"/>
    </row>
    <row r="202" spans="1:10" x14ac:dyDescent="0.25">
      <c r="A202" s="52"/>
      <c r="D202" s="121"/>
      <c r="E202" s="22"/>
      <c r="F202" s="20"/>
      <c r="G202" s="20"/>
      <c r="H202" s="20"/>
      <c r="I202" s="3"/>
      <c r="J202" s="3"/>
    </row>
    <row r="203" spans="1:10" x14ac:dyDescent="0.25">
      <c r="A203" s="52"/>
      <c r="D203" s="121"/>
      <c r="E203" s="22"/>
      <c r="F203" s="20"/>
      <c r="G203" s="20"/>
      <c r="H203" s="20"/>
      <c r="I203" s="3"/>
      <c r="J203" s="3"/>
    </row>
    <row r="204" spans="1:10" x14ac:dyDescent="0.25">
      <c r="A204" s="52"/>
      <c r="D204" s="121"/>
      <c r="E204" s="22"/>
      <c r="F204" s="20"/>
      <c r="G204" s="20"/>
      <c r="H204" s="20"/>
      <c r="I204" s="3"/>
      <c r="J204" s="3"/>
    </row>
    <row r="205" spans="1:10" x14ac:dyDescent="0.25">
      <c r="A205" s="52"/>
      <c r="D205" s="121"/>
      <c r="E205" s="22"/>
      <c r="F205" s="20"/>
      <c r="G205" s="20"/>
      <c r="H205" s="20"/>
      <c r="I205" s="3"/>
      <c r="J205" s="3"/>
    </row>
    <row r="206" spans="1:10" x14ac:dyDescent="0.25">
      <c r="A206" s="52"/>
      <c r="D206" s="121"/>
      <c r="E206" s="22"/>
      <c r="F206" s="20"/>
      <c r="G206" s="20"/>
      <c r="H206" s="20"/>
      <c r="I206" s="3"/>
      <c r="J206" s="3"/>
    </row>
    <row r="207" spans="1:10" x14ac:dyDescent="0.25">
      <c r="A207" s="52"/>
      <c r="D207" s="121"/>
      <c r="E207" s="22"/>
      <c r="F207" s="20"/>
      <c r="G207" s="20"/>
      <c r="H207" s="20"/>
      <c r="I207" s="3"/>
      <c r="J207" s="3"/>
    </row>
    <row r="208" spans="1:10" x14ac:dyDescent="0.25">
      <c r="A208" s="52"/>
      <c r="D208" s="121"/>
      <c r="E208" s="22"/>
      <c r="F208" s="20"/>
      <c r="G208" s="20"/>
      <c r="H208" s="20"/>
      <c r="I208" s="3"/>
      <c r="J208" s="3"/>
    </row>
    <row r="209" spans="1:10" x14ac:dyDescent="0.25">
      <c r="A209" s="52"/>
      <c r="D209" s="121"/>
      <c r="E209" s="22"/>
      <c r="F209" s="20"/>
      <c r="G209" s="20"/>
      <c r="H209" s="20"/>
      <c r="I209" s="3"/>
      <c r="J209" s="3"/>
    </row>
    <row r="210" spans="1:10" x14ac:dyDescent="0.25">
      <c r="A210" s="52"/>
      <c r="D210" s="121"/>
      <c r="E210" s="22"/>
      <c r="F210" s="20"/>
      <c r="G210" s="20"/>
      <c r="H210" s="20"/>
      <c r="I210" s="3"/>
      <c r="J210" s="3"/>
    </row>
    <row r="211" spans="1:10" x14ac:dyDescent="0.25">
      <c r="A211" s="52"/>
      <c r="D211" s="121"/>
      <c r="E211" s="22"/>
      <c r="F211" s="20"/>
      <c r="G211" s="20"/>
      <c r="H211" s="20"/>
      <c r="I211" s="3"/>
      <c r="J211" s="3"/>
    </row>
    <row r="212" spans="1:10" x14ac:dyDescent="0.25">
      <c r="A212" s="52"/>
      <c r="D212" s="121"/>
      <c r="E212" s="22"/>
      <c r="F212" s="20"/>
      <c r="G212" s="20"/>
      <c r="H212" s="20"/>
      <c r="I212" s="3"/>
      <c r="J212" s="3"/>
    </row>
    <row r="213" spans="1:10" x14ac:dyDescent="0.25">
      <c r="A213" s="52"/>
      <c r="D213" s="121"/>
      <c r="E213" s="22"/>
      <c r="F213" s="20"/>
      <c r="G213" s="20"/>
      <c r="H213" s="20"/>
      <c r="I213" s="3"/>
      <c r="J213" s="3"/>
    </row>
    <row r="214" spans="1:10" x14ac:dyDescent="0.25">
      <c r="A214" s="52"/>
      <c r="D214" s="121"/>
      <c r="E214" s="22"/>
      <c r="F214" s="20"/>
      <c r="G214" s="20"/>
      <c r="H214" s="20"/>
      <c r="I214" s="3"/>
      <c r="J214" s="3"/>
    </row>
    <row r="215" spans="1:10" x14ac:dyDescent="0.25">
      <c r="A215" s="52"/>
      <c r="D215" s="121"/>
      <c r="E215" s="22"/>
      <c r="F215" s="20"/>
      <c r="G215" s="20"/>
      <c r="H215" s="20"/>
      <c r="I215" s="3"/>
      <c r="J215" s="3"/>
    </row>
    <row r="216" spans="1:10" x14ac:dyDescent="0.25">
      <c r="A216" s="52"/>
      <c r="D216" s="121"/>
      <c r="E216" s="22"/>
      <c r="F216" s="20"/>
      <c r="G216" s="20"/>
      <c r="H216" s="20"/>
      <c r="I216" s="3"/>
      <c r="J216" s="3"/>
    </row>
    <row r="217" spans="1:10" x14ac:dyDescent="0.25">
      <c r="A217" s="52"/>
      <c r="D217" s="121"/>
      <c r="E217" s="22"/>
      <c r="F217" s="20"/>
      <c r="G217" s="20"/>
      <c r="H217" s="20"/>
      <c r="I217" s="3"/>
      <c r="J217" s="3"/>
    </row>
    <row r="218" spans="1:10" x14ac:dyDescent="0.25">
      <c r="A218" s="52"/>
      <c r="D218" s="121"/>
      <c r="E218" s="22"/>
      <c r="F218" s="20"/>
      <c r="G218" s="20"/>
      <c r="H218" s="20"/>
      <c r="I218" s="3"/>
      <c r="J218" s="3"/>
    </row>
    <row r="219" spans="1:10" x14ac:dyDescent="0.25">
      <c r="A219" s="52"/>
      <c r="D219" s="121"/>
      <c r="E219" s="22"/>
      <c r="F219" s="20"/>
      <c r="G219" s="20"/>
      <c r="H219" s="20"/>
      <c r="I219" s="3"/>
      <c r="J219" s="3"/>
    </row>
    <row r="220" spans="1:10" x14ac:dyDescent="0.25">
      <c r="A220" s="52"/>
      <c r="D220" s="121"/>
      <c r="E220" s="22"/>
      <c r="F220" s="20"/>
      <c r="G220" s="20"/>
      <c r="H220" s="20"/>
      <c r="I220" s="3"/>
      <c r="J220" s="3"/>
    </row>
    <row r="221" spans="1:10" x14ac:dyDescent="0.25">
      <c r="A221" s="52"/>
      <c r="D221" s="121"/>
      <c r="E221" s="22"/>
      <c r="F221" s="20"/>
      <c r="G221" s="20"/>
      <c r="H221" s="20"/>
      <c r="I221" s="3"/>
      <c r="J221" s="3"/>
    </row>
    <row r="222" spans="1:10" x14ac:dyDescent="0.25">
      <c r="A222" s="52"/>
      <c r="D222" s="121"/>
      <c r="E222" s="22"/>
      <c r="F222" s="20"/>
      <c r="G222" s="20"/>
      <c r="H222" s="20"/>
      <c r="I222" s="3"/>
      <c r="J222" s="3"/>
    </row>
    <row r="223" spans="1:10" x14ac:dyDescent="0.25">
      <c r="A223" s="52"/>
      <c r="D223" s="121"/>
      <c r="E223" s="22"/>
      <c r="F223" s="20"/>
      <c r="G223" s="20"/>
      <c r="H223" s="20"/>
      <c r="I223" s="3"/>
      <c r="J223" s="3"/>
    </row>
    <row r="224" spans="1:10" x14ac:dyDescent="0.25">
      <c r="A224" s="52"/>
      <c r="D224" s="121"/>
      <c r="E224" s="22"/>
      <c r="F224" s="20"/>
      <c r="G224" s="20"/>
      <c r="H224" s="20"/>
      <c r="I224" s="3"/>
      <c r="J224" s="3"/>
    </row>
    <row r="225" spans="1:10" x14ac:dyDescent="0.25">
      <c r="A225" s="52"/>
      <c r="D225" s="121"/>
      <c r="E225" s="22"/>
      <c r="F225" s="20"/>
      <c r="G225" s="20"/>
      <c r="H225" s="20"/>
      <c r="I225" s="3"/>
      <c r="J225" s="3"/>
    </row>
    <row r="226" spans="1:10" x14ac:dyDescent="0.25">
      <c r="A226" s="52"/>
      <c r="D226" s="121"/>
      <c r="E226" s="22"/>
      <c r="F226" s="20"/>
      <c r="G226" s="20"/>
      <c r="H226" s="20"/>
      <c r="I226" s="3"/>
      <c r="J226" s="3"/>
    </row>
    <row r="227" spans="1:10" x14ac:dyDescent="0.25">
      <c r="A227" s="52"/>
      <c r="D227" s="121"/>
      <c r="E227" s="22"/>
      <c r="F227" s="20"/>
      <c r="G227" s="20"/>
      <c r="H227" s="20"/>
      <c r="I227" s="3"/>
      <c r="J227" s="3"/>
    </row>
    <row r="228" spans="1:10" x14ac:dyDescent="0.25">
      <c r="A228" s="52"/>
      <c r="D228" s="121"/>
      <c r="E228" s="22"/>
      <c r="F228" s="20"/>
      <c r="G228" s="20"/>
      <c r="H228" s="20"/>
      <c r="I228" s="3"/>
      <c r="J228" s="3"/>
    </row>
    <row r="229" spans="1:10" x14ac:dyDescent="0.25">
      <c r="A229" s="52"/>
      <c r="D229" s="121"/>
      <c r="E229" s="22"/>
      <c r="F229" s="20"/>
      <c r="G229" s="20"/>
      <c r="H229" s="20"/>
      <c r="I229" s="3"/>
      <c r="J229" s="3"/>
    </row>
    <row r="230" spans="1:10" x14ac:dyDescent="0.25">
      <c r="A230" s="52"/>
      <c r="D230" s="121"/>
      <c r="E230" s="22"/>
      <c r="F230" s="20"/>
      <c r="G230" s="20"/>
      <c r="H230" s="20"/>
      <c r="I230" s="3"/>
      <c r="J230" s="3"/>
    </row>
    <row r="231" spans="1:10" x14ac:dyDescent="0.25">
      <c r="A231" s="52"/>
      <c r="D231" s="121"/>
      <c r="E231" s="22"/>
      <c r="F231" s="20"/>
      <c r="G231" s="20"/>
      <c r="H231" s="20"/>
      <c r="I231" s="3"/>
      <c r="J231" s="3"/>
    </row>
    <row r="232" spans="1:10" x14ac:dyDescent="0.25">
      <c r="A232" s="52"/>
      <c r="D232" s="121"/>
      <c r="E232" s="22"/>
      <c r="F232" s="20"/>
      <c r="G232" s="20"/>
      <c r="H232" s="20"/>
      <c r="I232" s="3"/>
      <c r="J232" s="3"/>
    </row>
    <row r="233" spans="1:10" x14ac:dyDescent="0.25">
      <c r="A233" s="52"/>
      <c r="D233" s="121"/>
      <c r="E233" s="22"/>
      <c r="F233" s="20"/>
      <c r="G233" s="20"/>
      <c r="H233" s="20"/>
      <c r="I233" s="3"/>
      <c r="J233" s="3"/>
    </row>
    <row r="234" spans="1:10" x14ac:dyDescent="0.25">
      <c r="A234" s="52"/>
      <c r="D234" s="121"/>
      <c r="E234" s="22"/>
      <c r="F234" s="20"/>
      <c r="G234" s="20"/>
      <c r="H234" s="20"/>
      <c r="I234" s="3"/>
      <c r="J234" s="3"/>
    </row>
    <row r="235" spans="1:10" x14ac:dyDescent="0.25">
      <c r="A235" s="52"/>
      <c r="D235" s="121"/>
      <c r="E235" s="22"/>
      <c r="F235" s="20"/>
      <c r="G235" s="20"/>
      <c r="H235" s="20"/>
      <c r="I235" s="3"/>
      <c r="J235" s="3"/>
    </row>
    <row r="236" spans="1:10" x14ac:dyDescent="0.25">
      <c r="A236" s="52"/>
      <c r="D236" s="121"/>
      <c r="E236" s="22"/>
      <c r="F236" s="20"/>
      <c r="G236" s="20"/>
      <c r="H236" s="20"/>
      <c r="I236" s="3"/>
      <c r="J236" s="3"/>
    </row>
    <row r="237" spans="1:10" x14ac:dyDescent="0.25">
      <c r="A237" s="52"/>
      <c r="D237" s="121"/>
      <c r="E237" s="22"/>
      <c r="F237" s="20"/>
      <c r="G237" s="20"/>
      <c r="H237" s="20"/>
      <c r="I237" s="3"/>
      <c r="J237" s="3"/>
    </row>
    <row r="238" spans="1:10" x14ac:dyDescent="0.25">
      <c r="A238" s="52"/>
      <c r="D238" s="121"/>
      <c r="E238" s="22"/>
      <c r="F238" s="20"/>
      <c r="G238" s="20"/>
      <c r="H238" s="20"/>
      <c r="I238" s="3"/>
      <c r="J238" s="3"/>
    </row>
    <row r="239" spans="1:10" x14ac:dyDescent="0.25">
      <c r="A239" s="52"/>
      <c r="D239" s="121"/>
      <c r="E239" s="22"/>
      <c r="F239" s="20"/>
      <c r="G239" s="20"/>
      <c r="H239" s="20"/>
      <c r="I239" s="3"/>
      <c r="J239" s="3"/>
    </row>
    <row r="240" spans="1:10" x14ac:dyDescent="0.25">
      <c r="A240" s="52"/>
      <c r="D240" s="121"/>
      <c r="E240" s="22"/>
      <c r="F240" s="20"/>
      <c r="G240" s="20"/>
      <c r="H240" s="20"/>
      <c r="I240" s="3"/>
      <c r="J240" s="3"/>
    </row>
    <row r="241" spans="1:10" x14ac:dyDescent="0.25">
      <c r="A241" s="52"/>
      <c r="D241" s="121"/>
      <c r="E241" s="22"/>
      <c r="F241" s="20"/>
      <c r="G241" s="20"/>
      <c r="H241" s="20"/>
      <c r="I241" s="3"/>
      <c r="J241" s="3"/>
    </row>
    <row r="242" spans="1:10" x14ac:dyDescent="0.25">
      <c r="A242" s="52"/>
      <c r="D242" s="121"/>
      <c r="E242" s="22"/>
      <c r="F242" s="20"/>
      <c r="G242" s="20"/>
      <c r="H242" s="20"/>
      <c r="I242" s="3"/>
      <c r="J242" s="3"/>
    </row>
    <row r="243" spans="1:10" x14ac:dyDescent="0.25">
      <c r="A243" s="52"/>
      <c r="D243" s="121"/>
      <c r="E243" s="22"/>
      <c r="F243" s="20"/>
      <c r="G243" s="20"/>
      <c r="H243" s="20"/>
      <c r="I243" s="3"/>
      <c r="J243" s="3"/>
    </row>
    <row r="244" spans="1:10" x14ac:dyDescent="0.25">
      <c r="A244" s="52"/>
      <c r="D244" s="121"/>
      <c r="E244" s="22"/>
      <c r="F244" s="20"/>
      <c r="G244" s="20"/>
      <c r="H244" s="20"/>
      <c r="I244" s="3"/>
      <c r="J244" s="3"/>
    </row>
    <row r="245" spans="1:10" x14ac:dyDescent="0.25">
      <c r="A245" s="52"/>
      <c r="D245" s="121"/>
      <c r="E245" s="22"/>
      <c r="F245" s="20"/>
      <c r="G245" s="20"/>
      <c r="H245" s="20"/>
      <c r="I245" s="3"/>
      <c r="J245" s="3"/>
    </row>
    <row r="246" spans="1:10" x14ac:dyDescent="0.25">
      <c r="A246" s="52"/>
      <c r="D246" s="121"/>
      <c r="E246" s="22"/>
      <c r="F246" s="20"/>
      <c r="G246" s="20"/>
      <c r="H246" s="20"/>
      <c r="I246" s="3"/>
      <c r="J246" s="3"/>
    </row>
    <row r="247" spans="1:10" x14ac:dyDescent="0.25">
      <c r="A247" s="52"/>
      <c r="D247" s="121"/>
      <c r="E247" s="22"/>
      <c r="F247" s="20"/>
      <c r="G247" s="20"/>
      <c r="H247" s="20"/>
      <c r="I247" s="3"/>
      <c r="J247" s="3"/>
    </row>
    <row r="248" spans="1:10" x14ac:dyDescent="0.25">
      <c r="A248" s="52"/>
      <c r="D248" s="121"/>
      <c r="E248" s="22"/>
      <c r="F248" s="20"/>
      <c r="G248" s="20"/>
      <c r="H248" s="20"/>
      <c r="I248" s="3"/>
      <c r="J248" s="3"/>
    </row>
    <row r="249" spans="1:10" x14ac:dyDescent="0.25">
      <c r="A249" s="52"/>
      <c r="D249" s="121"/>
      <c r="E249" s="22"/>
      <c r="F249" s="20"/>
      <c r="G249" s="20"/>
      <c r="H249" s="20"/>
      <c r="I249" s="3"/>
      <c r="J249" s="3"/>
    </row>
    <row r="250" spans="1:10" x14ac:dyDescent="0.25">
      <c r="A250" s="52"/>
      <c r="D250" s="121"/>
      <c r="E250" s="22"/>
      <c r="F250" s="20"/>
      <c r="G250" s="20"/>
      <c r="H250" s="20"/>
      <c r="I250" s="3"/>
      <c r="J250" s="3"/>
    </row>
    <row r="251" spans="1:10" x14ac:dyDescent="0.25">
      <c r="A251" s="52"/>
      <c r="D251" s="121"/>
      <c r="E251" s="22"/>
      <c r="F251" s="20"/>
      <c r="G251" s="20"/>
      <c r="H251" s="20"/>
    </row>
    <row r="252" spans="1:10" x14ac:dyDescent="0.25">
      <c r="A252" s="52"/>
      <c r="D252" s="121"/>
      <c r="E252" s="22"/>
      <c r="F252" s="20"/>
      <c r="G252" s="20"/>
      <c r="H252" s="20"/>
    </row>
    <row r="253" spans="1:10" x14ac:dyDescent="0.25">
      <c r="A253" s="52"/>
      <c r="D253" s="121"/>
      <c r="E253" s="22"/>
      <c r="F253" s="20"/>
      <c r="G253" s="20"/>
      <c r="H253" s="20"/>
    </row>
    <row r="254" spans="1:10" x14ac:dyDescent="0.25">
      <c r="A254" s="52"/>
      <c r="D254" s="121"/>
      <c r="E254" s="22"/>
      <c r="F254" s="20"/>
      <c r="G254" s="20"/>
      <c r="H254" s="20"/>
    </row>
    <row r="255" spans="1:10" x14ac:dyDescent="0.25">
      <c r="A255" s="52"/>
      <c r="D255" s="121"/>
      <c r="E255" s="22"/>
      <c r="F255" s="20"/>
      <c r="G255" s="20"/>
      <c r="H255" s="20"/>
    </row>
    <row r="256" spans="1:10" x14ac:dyDescent="0.25">
      <c r="A256" s="52"/>
      <c r="D256" s="121"/>
      <c r="E256" s="22"/>
      <c r="F256" s="20"/>
      <c r="G256" s="20"/>
      <c r="H256" s="20"/>
    </row>
    <row r="257" spans="1:8" x14ac:dyDescent="0.25">
      <c r="A257" s="52"/>
      <c r="D257" s="121"/>
      <c r="E257" s="22"/>
      <c r="F257" s="20"/>
      <c r="G257" s="20"/>
      <c r="H257" s="20"/>
    </row>
    <row r="258" spans="1:8" x14ac:dyDescent="0.25">
      <c r="A258" s="52"/>
      <c r="D258" s="121"/>
      <c r="E258" s="22"/>
      <c r="F258" s="20"/>
      <c r="G258" s="20"/>
      <c r="H258" s="20"/>
    </row>
    <row r="259" spans="1:8" x14ac:dyDescent="0.25">
      <c r="A259" s="52"/>
      <c r="D259" s="121"/>
      <c r="E259" s="22"/>
      <c r="F259" s="20"/>
      <c r="G259" s="20"/>
      <c r="H259" s="20"/>
    </row>
    <row r="260" spans="1:8" x14ac:dyDescent="0.25">
      <c r="A260" s="52"/>
      <c r="D260" s="121"/>
      <c r="E260" s="22"/>
      <c r="F260" s="20"/>
      <c r="G260" s="20"/>
      <c r="H260" s="20"/>
    </row>
    <row r="261" spans="1:8" x14ac:dyDescent="0.25">
      <c r="A261" s="52"/>
      <c r="D261" s="121"/>
      <c r="E261" s="22"/>
      <c r="F261" s="20"/>
      <c r="G261" s="20"/>
      <c r="H261" s="20"/>
    </row>
    <row r="262" spans="1:8" x14ac:dyDescent="0.25">
      <c r="A262" s="52"/>
      <c r="D262" s="121"/>
      <c r="E262" s="22"/>
      <c r="F262" s="20"/>
      <c r="G262" s="20"/>
      <c r="H262" s="20"/>
    </row>
    <row r="263" spans="1:8" x14ac:dyDescent="0.25">
      <c r="A263" s="52"/>
      <c r="D263" s="121"/>
      <c r="E263" s="22"/>
      <c r="F263" s="20"/>
      <c r="G263" s="20"/>
      <c r="H263" s="20"/>
    </row>
    <row r="264" spans="1:8" x14ac:dyDescent="0.25">
      <c r="A264" s="52"/>
      <c r="D264" s="121"/>
      <c r="E264" s="22"/>
      <c r="F264" s="20"/>
      <c r="G264" s="20"/>
      <c r="H264" s="20"/>
    </row>
    <row r="265" spans="1:8" x14ac:dyDescent="0.25">
      <c r="A265" s="52"/>
      <c r="D265" s="121"/>
      <c r="E265" s="22"/>
      <c r="F265" s="20"/>
      <c r="G265" s="20"/>
      <c r="H265" s="20"/>
    </row>
    <row r="266" spans="1:8" x14ac:dyDescent="0.25">
      <c r="A266" s="52"/>
      <c r="D266" s="121"/>
      <c r="E266" s="22"/>
      <c r="F266" s="20"/>
      <c r="G266" s="20"/>
      <c r="H266" s="20"/>
    </row>
    <row r="267" spans="1:8" x14ac:dyDescent="0.25">
      <c r="A267" s="52"/>
      <c r="D267" s="121"/>
      <c r="E267" s="22"/>
      <c r="F267" s="20"/>
      <c r="G267" s="20"/>
      <c r="H267" s="20"/>
    </row>
    <row r="268" spans="1:8" x14ac:dyDescent="0.25">
      <c r="A268" s="52"/>
      <c r="D268" s="121"/>
      <c r="E268" s="22"/>
      <c r="F268" s="20"/>
      <c r="G268" s="20"/>
      <c r="H268" s="20"/>
    </row>
    <row r="269" spans="1:8" x14ac:dyDescent="0.25">
      <c r="A269" s="52"/>
      <c r="D269" s="121"/>
      <c r="E269" s="22"/>
      <c r="F269" s="20"/>
      <c r="G269" s="20"/>
      <c r="H269" s="20"/>
    </row>
    <row r="270" spans="1:8" x14ac:dyDescent="0.25">
      <c r="A270" s="52"/>
      <c r="D270" s="121"/>
      <c r="E270" s="22"/>
      <c r="F270" s="20"/>
      <c r="G270" s="20"/>
      <c r="H270" s="20"/>
    </row>
    <row r="271" spans="1:8" x14ac:dyDescent="0.25">
      <c r="A271" s="52"/>
      <c r="D271" s="121"/>
      <c r="E271" s="22"/>
      <c r="F271" s="20"/>
      <c r="G271" s="20"/>
      <c r="H271" s="20"/>
    </row>
    <row r="272" spans="1:8" x14ac:dyDescent="0.25">
      <c r="A272" s="52"/>
      <c r="D272" s="121"/>
      <c r="E272" s="22"/>
      <c r="F272" s="20"/>
      <c r="G272" s="20"/>
      <c r="H272" s="20"/>
    </row>
    <row r="273" spans="1:8" x14ac:dyDescent="0.25">
      <c r="A273" s="52"/>
      <c r="D273" s="121"/>
      <c r="E273" s="22"/>
      <c r="F273" s="20"/>
      <c r="G273" s="20"/>
      <c r="H273" s="20"/>
    </row>
    <row r="274" spans="1:8" x14ac:dyDescent="0.25">
      <c r="A274" s="52"/>
      <c r="D274" s="121"/>
      <c r="E274" s="22"/>
      <c r="F274" s="20"/>
      <c r="G274" s="20"/>
      <c r="H274" s="20"/>
    </row>
    <row r="275" spans="1:8" x14ac:dyDescent="0.25">
      <c r="A275" s="52"/>
      <c r="D275" s="121"/>
      <c r="E275" s="22"/>
      <c r="F275" s="20"/>
      <c r="G275" s="20"/>
      <c r="H275" s="20"/>
    </row>
    <row r="276" spans="1:8" x14ac:dyDescent="0.25">
      <c r="A276" s="52"/>
      <c r="D276" s="121"/>
      <c r="E276" s="22"/>
      <c r="F276" s="20"/>
      <c r="G276" s="20"/>
      <c r="H276" s="20"/>
    </row>
    <row r="277" spans="1:8" x14ac:dyDescent="0.25">
      <c r="A277" s="52"/>
      <c r="D277" s="121"/>
      <c r="E277" s="22"/>
      <c r="F277" s="20"/>
      <c r="G277" s="20"/>
      <c r="H277" s="20"/>
    </row>
    <row r="278" spans="1:8" x14ac:dyDescent="0.25">
      <c r="A278" s="52"/>
      <c r="D278" s="121"/>
      <c r="E278" s="22"/>
      <c r="F278" s="20"/>
      <c r="G278" s="20"/>
      <c r="H278" s="20"/>
    </row>
    <row r="279" spans="1:8" x14ac:dyDescent="0.25">
      <c r="A279" s="52"/>
      <c r="D279" s="121"/>
      <c r="E279" s="22"/>
      <c r="F279" s="20"/>
      <c r="G279" s="20"/>
      <c r="H279" s="20"/>
    </row>
    <row r="280" spans="1:8" x14ac:dyDescent="0.25">
      <c r="A280" s="52"/>
      <c r="D280" s="121"/>
      <c r="E280" s="22"/>
      <c r="F280" s="20"/>
      <c r="G280" s="20"/>
      <c r="H280" s="20"/>
    </row>
    <row r="281" spans="1:8" x14ac:dyDescent="0.25">
      <c r="A281" s="52"/>
      <c r="D281" s="121"/>
      <c r="E281" s="22"/>
      <c r="F281" s="20"/>
      <c r="G281" s="20"/>
      <c r="H281" s="20"/>
    </row>
    <row r="282" spans="1:8" x14ac:dyDescent="0.25">
      <c r="A282" s="52"/>
      <c r="D282" s="121"/>
      <c r="E282" s="22"/>
      <c r="F282" s="20"/>
      <c r="G282" s="20"/>
      <c r="H282" s="20"/>
    </row>
    <row r="283" spans="1:8" x14ac:dyDescent="0.25">
      <c r="A283" s="52"/>
      <c r="D283" s="121"/>
      <c r="E283" s="22"/>
      <c r="F283" s="20"/>
      <c r="G283" s="20"/>
      <c r="H283" s="20"/>
    </row>
    <row r="284" spans="1:8" x14ac:dyDescent="0.25">
      <c r="A284" s="52"/>
      <c r="D284" s="121"/>
      <c r="E284" s="22"/>
      <c r="F284" s="20"/>
      <c r="G284" s="20"/>
      <c r="H284" s="20"/>
    </row>
    <row r="285" spans="1:8" x14ac:dyDescent="0.25">
      <c r="A285" s="52"/>
      <c r="D285" s="121"/>
      <c r="E285" s="22"/>
      <c r="F285" s="20"/>
      <c r="G285" s="20"/>
      <c r="H285" s="20"/>
    </row>
    <row r="286" spans="1:8" x14ac:dyDescent="0.25">
      <c r="A286" s="52"/>
      <c r="D286" s="121"/>
      <c r="E286" s="22"/>
      <c r="F286" s="20"/>
      <c r="G286" s="20"/>
      <c r="H286" s="20"/>
    </row>
    <row r="287" spans="1:8" x14ac:dyDescent="0.25">
      <c r="A287" s="52"/>
      <c r="D287" s="121"/>
      <c r="E287" s="22"/>
      <c r="F287" s="20"/>
      <c r="G287" s="20"/>
      <c r="H287" s="20"/>
    </row>
    <row r="288" spans="1:8" x14ac:dyDescent="0.25">
      <c r="A288" s="52"/>
      <c r="D288" s="121"/>
      <c r="E288" s="22"/>
      <c r="F288" s="20"/>
      <c r="G288" s="20"/>
      <c r="H288" s="20"/>
    </row>
    <row r="289" spans="1:8" x14ac:dyDescent="0.25">
      <c r="A289" s="52"/>
      <c r="D289" s="121"/>
      <c r="E289" s="22"/>
      <c r="F289" s="20"/>
      <c r="G289" s="20"/>
      <c r="H289" s="20"/>
    </row>
    <row r="290" spans="1:8" x14ac:dyDescent="0.25">
      <c r="A290" s="52"/>
      <c r="D290" s="121"/>
      <c r="E290" s="22"/>
      <c r="F290" s="20"/>
      <c r="G290" s="20"/>
      <c r="H290" s="20"/>
    </row>
    <row r="291" spans="1:8" x14ac:dyDescent="0.25">
      <c r="A291" s="52"/>
      <c r="D291" s="121"/>
      <c r="E291" s="22"/>
      <c r="F291" s="20"/>
      <c r="G291" s="20"/>
      <c r="H291" s="20"/>
    </row>
    <row r="292" spans="1:8" x14ac:dyDescent="0.25">
      <c r="A292" s="52"/>
      <c r="D292" s="121"/>
      <c r="E292" s="22"/>
      <c r="F292" s="20"/>
      <c r="G292" s="20"/>
      <c r="H292" s="20"/>
    </row>
    <row r="293" spans="1:8" x14ac:dyDescent="0.25">
      <c r="A293" s="52"/>
      <c r="D293" s="121"/>
      <c r="E293" s="22"/>
      <c r="F293" s="20"/>
      <c r="G293" s="20"/>
      <c r="H293" s="20"/>
    </row>
    <row r="294" spans="1:8" x14ac:dyDescent="0.25">
      <c r="A294" s="52"/>
      <c r="D294" s="121"/>
      <c r="E294" s="22"/>
      <c r="F294" s="20"/>
      <c r="G294" s="20"/>
      <c r="H294" s="20"/>
    </row>
    <row r="295" spans="1:8" x14ac:dyDescent="0.25">
      <c r="A295" s="52"/>
      <c r="D295" s="121"/>
      <c r="E295" s="22"/>
      <c r="F295" s="20"/>
      <c r="G295" s="20"/>
      <c r="H295" s="20"/>
    </row>
    <row r="296" spans="1:8" x14ac:dyDescent="0.25">
      <c r="A296" s="52"/>
      <c r="D296" s="121"/>
      <c r="E296" s="22"/>
      <c r="F296" s="20"/>
      <c r="G296" s="20"/>
      <c r="H296" s="20"/>
    </row>
    <row r="297" spans="1:8" x14ac:dyDescent="0.25">
      <c r="A297" s="52"/>
      <c r="D297" s="121"/>
      <c r="E297" s="22"/>
      <c r="F297" s="20"/>
      <c r="G297" s="20"/>
      <c r="H297" s="20"/>
    </row>
    <row r="298" spans="1:8" x14ac:dyDescent="0.25">
      <c r="A298" s="52"/>
      <c r="D298" s="121"/>
      <c r="E298" s="22"/>
      <c r="F298" s="20"/>
      <c r="G298" s="20"/>
      <c r="H298" s="20"/>
    </row>
    <row r="299" spans="1:8" x14ac:dyDescent="0.25">
      <c r="A299" s="52"/>
      <c r="D299" s="121"/>
      <c r="E299" s="22"/>
      <c r="F299" s="20"/>
      <c r="G299" s="20"/>
      <c r="H299" s="20"/>
    </row>
    <row r="300" spans="1:8" x14ac:dyDescent="0.25">
      <c r="A300" s="52"/>
      <c r="D300" s="121"/>
      <c r="E300" s="22"/>
      <c r="F300" s="20"/>
      <c r="G300" s="20"/>
      <c r="H300" s="20"/>
    </row>
    <row r="301" spans="1:8" x14ac:dyDescent="0.25">
      <c r="A301" s="52"/>
      <c r="D301" s="121"/>
      <c r="E301" s="22"/>
      <c r="F301" s="20"/>
      <c r="G301" s="20"/>
      <c r="H301" s="20"/>
    </row>
    <row r="302" spans="1:8" x14ac:dyDescent="0.25">
      <c r="A302" s="52"/>
      <c r="D302" s="121"/>
      <c r="E302" s="22"/>
      <c r="F302" s="20"/>
      <c r="G302" s="20"/>
      <c r="H302" s="20"/>
    </row>
    <row r="303" spans="1:8" x14ac:dyDescent="0.25">
      <c r="A303" s="52"/>
      <c r="D303" s="121"/>
      <c r="E303" s="22"/>
      <c r="F303" s="20"/>
      <c r="G303" s="20"/>
      <c r="H303" s="20"/>
    </row>
    <row r="304" spans="1:8" x14ac:dyDescent="0.25">
      <c r="A304" s="52"/>
      <c r="D304" s="121"/>
      <c r="E304" s="22"/>
      <c r="F304" s="20"/>
      <c r="G304" s="20"/>
      <c r="H304" s="20"/>
    </row>
    <row r="305" spans="1:8" x14ac:dyDescent="0.25">
      <c r="A305" s="52"/>
      <c r="D305" s="121"/>
      <c r="E305" s="22"/>
      <c r="F305" s="20"/>
      <c r="G305" s="20"/>
      <c r="H305" s="20"/>
    </row>
    <row r="306" spans="1:8" x14ac:dyDescent="0.25">
      <c r="A306" s="52"/>
      <c r="D306" s="121"/>
      <c r="E306" s="22"/>
      <c r="F306" s="20"/>
      <c r="G306" s="20"/>
      <c r="H306" s="20"/>
    </row>
    <row r="307" spans="1:8" x14ac:dyDescent="0.25">
      <c r="A307" s="52"/>
      <c r="D307" s="121"/>
      <c r="E307" s="22"/>
      <c r="F307" s="20"/>
      <c r="G307" s="20"/>
      <c r="H307" s="20"/>
    </row>
    <row r="308" spans="1:8" x14ac:dyDescent="0.25">
      <c r="A308" s="52"/>
      <c r="D308" s="121"/>
      <c r="E308" s="22"/>
      <c r="F308" s="20"/>
      <c r="G308" s="20"/>
      <c r="H308" s="20"/>
    </row>
    <row r="309" spans="1:8" x14ac:dyDescent="0.25">
      <c r="A309" s="52"/>
      <c r="D309" s="121"/>
      <c r="E309" s="22"/>
      <c r="F309" s="20"/>
      <c r="G309" s="20"/>
      <c r="H309" s="20"/>
    </row>
    <row r="310" spans="1:8" x14ac:dyDescent="0.25">
      <c r="A310" s="52"/>
      <c r="D310" s="121"/>
      <c r="E310" s="22"/>
      <c r="F310" s="20"/>
      <c r="G310" s="20"/>
      <c r="H310" s="20"/>
    </row>
    <row r="311" spans="1:8" x14ac:dyDescent="0.25">
      <c r="A311" s="52"/>
      <c r="D311" s="121"/>
      <c r="E311" s="22"/>
      <c r="F311" s="20"/>
      <c r="G311" s="20"/>
      <c r="H311" s="20"/>
    </row>
    <row r="312" spans="1:8" x14ac:dyDescent="0.25">
      <c r="A312" s="52"/>
      <c r="D312" s="121"/>
      <c r="E312" s="22"/>
      <c r="F312" s="20"/>
      <c r="G312" s="20"/>
      <c r="H312" s="20"/>
    </row>
    <row r="313" spans="1:8" x14ac:dyDescent="0.25">
      <c r="A313" s="52"/>
      <c r="D313" s="121"/>
      <c r="E313" s="22"/>
      <c r="F313" s="20"/>
      <c r="G313" s="20"/>
      <c r="H313" s="20"/>
    </row>
    <row r="314" spans="1:8" x14ac:dyDescent="0.25">
      <c r="A314" s="52"/>
      <c r="D314" s="121"/>
      <c r="E314" s="22"/>
      <c r="F314" s="20"/>
      <c r="G314" s="20"/>
      <c r="H314" s="20"/>
    </row>
    <row r="315" spans="1:8" x14ac:dyDescent="0.25">
      <c r="A315" s="52"/>
      <c r="D315" s="121"/>
      <c r="E315" s="22"/>
      <c r="F315" s="20"/>
      <c r="G315" s="20"/>
      <c r="H315" s="20"/>
    </row>
    <row r="316" spans="1:8" x14ac:dyDescent="0.25">
      <c r="A316" s="52"/>
      <c r="D316" s="121"/>
      <c r="E316" s="22"/>
      <c r="F316" s="20"/>
      <c r="G316" s="20"/>
      <c r="H316" s="20"/>
    </row>
    <row r="317" spans="1:8" x14ac:dyDescent="0.25">
      <c r="A317" s="52"/>
      <c r="D317" s="121"/>
      <c r="E317" s="22"/>
      <c r="F317" s="20"/>
      <c r="G317" s="20"/>
      <c r="H317" s="20"/>
    </row>
    <row r="318" spans="1:8" x14ac:dyDescent="0.25">
      <c r="A318" s="52"/>
      <c r="D318" s="121"/>
      <c r="E318" s="22"/>
      <c r="F318" s="20"/>
      <c r="G318" s="20"/>
      <c r="H318" s="20"/>
    </row>
    <row r="319" spans="1:8" x14ac:dyDescent="0.25">
      <c r="A319" s="52"/>
      <c r="D319" s="121"/>
      <c r="E319" s="22"/>
      <c r="F319" s="20"/>
      <c r="G319" s="20"/>
      <c r="H319" s="20"/>
    </row>
    <row r="320" spans="1:8" x14ac:dyDescent="0.25">
      <c r="A320" s="52"/>
      <c r="D320" s="121"/>
      <c r="E320" s="22"/>
      <c r="F320" s="20"/>
      <c r="G320" s="20"/>
      <c r="H320" s="20"/>
    </row>
    <row r="321" spans="1:8" x14ac:dyDescent="0.25">
      <c r="A321" s="52"/>
      <c r="D321" s="121"/>
      <c r="E321" s="22"/>
      <c r="F321" s="20"/>
      <c r="G321" s="20"/>
      <c r="H321" s="20"/>
    </row>
    <row r="322" spans="1:8" x14ac:dyDescent="0.25">
      <c r="A322" s="52"/>
      <c r="D322" s="121"/>
      <c r="E322" s="22"/>
      <c r="F322" s="20"/>
      <c r="G322" s="20"/>
      <c r="H322" s="20"/>
    </row>
    <row r="323" spans="1:8" x14ac:dyDescent="0.25">
      <c r="A323" s="52"/>
      <c r="D323" s="121"/>
      <c r="E323" s="22"/>
      <c r="F323" s="20"/>
      <c r="G323" s="20"/>
      <c r="H323" s="20"/>
    </row>
    <row r="324" spans="1:8" x14ac:dyDescent="0.25">
      <c r="A324" s="52"/>
      <c r="D324" s="121"/>
      <c r="E324" s="22"/>
      <c r="F324" s="20"/>
      <c r="G324" s="20"/>
      <c r="H324" s="20"/>
    </row>
    <row r="325" spans="1:8" x14ac:dyDescent="0.25">
      <c r="A325" s="52"/>
      <c r="D325" s="121"/>
      <c r="E325" s="22"/>
      <c r="F325" s="20"/>
      <c r="G325" s="20"/>
      <c r="H325" s="20"/>
    </row>
    <row r="326" spans="1:8" x14ac:dyDescent="0.25">
      <c r="A326" s="52"/>
      <c r="D326" s="121"/>
      <c r="E326" s="22"/>
      <c r="F326" s="20"/>
      <c r="G326" s="20"/>
      <c r="H326" s="20"/>
    </row>
    <row r="327" spans="1:8" x14ac:dyDescent="0.25">
      <c r="A327" s="52"/>
      <c r="D327" s="121"/>
      <c r="E327" s="22"/>
      <c r="F327" s="20"/>
      <c r="G327" s="20"/>
      <c r="H327" s="20"/>
    </row>
    <row r="328" spans="1:8" x14ac:dyDescent="0.25">
      <c r="A328" s="52"/>
      <c r="D328" s="121"/>
      <c r="E328" s="22"/>
      <c r="F328" s="20"/>
      <c r="G328" s="20"/>
      <c r="H328" s="20"/>
    </row>
    <row r="329" spans="1:8" x14ac:dyDescent="0.25">
      <c r="A329" s="52"/>
      <c r="D329" s="121"/>
      <c r="E329" s="22"/>
      <c r="F329" s="20"/>
      <c r="G329" s="20"/>
      <c r="H329" s="20"/>
    </row>
    <row r="330" spans="1:8" x14ac:dyDescent="0.25">
      <c r="A330" s="52"/>
      <c r="D330" s="121"/>
      <c r="E330" s="22"/>
      <c r="F330" s="20"/>
      <c r="G330" s="20"/>
      <c r="H330" s="20"/>
    </row>
    <row r="331" spans="1:8" x14ac:dyDescent="0.25">
      <c r="A331" s="52"/>
      <c r="D331" s="121"/>
      <c r="E331" s="22"/>
      <c r="F331" s="20"/>
      <c r="G331" s="20"/>
      <c r="H331" s="20"/>
    </row>
    <row r="332" spans="1:8" x14ac:dyDescent="0.25">
      <c r="A332" s="52"/>
      <c r="D332" s="121"/>
      <c r="E332" s="22"/>
      <c r="F332" s="20"/>
      <c r="G332" s="20"/>
      <c r="H332" s="20"/>
    </row>
    <row r="333" spans="1:8" x14ac:dyDescent="0.25">
      <c r="A333" s="52"/>
      <c r="D333" s="121"/>
      <c r="E333" s="22"/>
      <c r="F333" s="20"/>
      <c r="G333" s="20"/>
      <c r="H333" s="20"/>
    </row>
    <row r="334" spans="1:8" x14ac:dyDescent="0.25">
      <c r="A334" s="52"/>
      <c r="D334" s="121"/>
      <c r="E334" s="22"/>
      <c r="F334" s="20"/>
      <c r="G334" s="20"/>
      <c r="H334" s="20"/>
    </row>
    <row r="335" spans="1:8" x14ac:dyDescent="0.25">
      <c r="A335" s="52"/>
      <c r="D335" s="121"/>
      <c r="E335" s="22"/>
      <c r="F335" s="20"/>
      <c r="G335" s="20"/>
      <c r="H335" s="20"/>
    </row>
    <row r="336" spans="1:8" x14ac:dyDescent="0.25">
      <c r="A336" s="52"/>
      <c r="D336" s="22"/>
      <c r="E336" s="22"/>
      <c r="F336" s="20"/>
      <c r="G336" s="20"/>
      <c r="H336" s="20"/>
    </row>
    <row r="337" spans="1:8" x14ac:dyDescent="0.25">
      <c r="A337" s="52"/>
      <c r="D337" s="22"/>
      <c r="E337" s="22"/>
      <c r="F337" s="20"/>
      <c r="G337" s="20"/>
      <c r="H337" s="20"/>
    </row>
    <row r="338" spans="1:8" x14ac:dyDescent="0.25">
      <c r="A338" s="52"/>
      <c r="D338" s="22"/>
      <c r="E338" s="22"/>
      <c r="F338" s="20"/>
      <c r="G338" s="20"/>
      <c r="H338" s="20"/>
    </row>
    <row r="339" spans="1:8" x14ac:dyDescent="0.25">
      <c r="A339" s="52"/>
      <c r="D339" s="22"/>
      <c r="E339" s="22"/>
      <c r="F339" s="20"/>
      <c r="G339" s="20"/>
      <c r="H339" s="20"/>
    </row>
    <row r="340" spans="1:8" x14ac:dyDescent="0.25">
      <c r="A340" s="52"/>
      <c r="D340" s="22"/>
      <c r="E340" s="22"/>
      <c r="F340" s="20"/>
      <c r="G340" s="20"/>
      <c r="H340" s="20"/>
    </row>
    <row r="341" spans="1:8" x14ac:dyDescent="0.25">
      <c r="A341" s="52"/>
      <c r="D341" s="22"/>
      <c r="E341" s="22"/>
      <c r="F341" s="20"/>
      <c r="G341" s="20"/>
      <c r="H341" s="20"/>
    </row>
    <row r="342" spans="1:8" x14ac:dyDescent="0.25">
      <c r="A342" s="52"/>
      <c r="D342" s="22"/>
      <c r="E342" s="22"/>
      <c r="F342" s="20"/>
      <c r="G342" s="20"/>
      <c r="H342" s="20"/>
    </row>
    <row r="343" spans="1:8" x14ac:dyDescent="0.25">
      <c r="A343" s="52"/>
      <c r="D343" s="22"/>
      <c r="E343" s="22"/>
      <c r="F343" s="20"/>
      <c r="G343" s="20"/>
      <c r="H343" s="20"/>
    </row>
    <row r="344" spans="1:8" x14ac:dyDescent="0.25">
      <c r="A344" s="52"/>
      <c r="D344" s="22"/>
      <c r="E344" s="22"/>
      <c r="F344" s="20"/>
      <c r="G344" s="20"/>
      <c r="H344" s="20"/>
    </row>
    <row r="345" spans="1:8" x14ac:dyDescent="0.25">
      <c r="A345" s="52"/>
      <c r="D345" s="22"/>
      <c r="E345" s="22"/>
      <c r="F345" s="20"/>
      <c r="G345" s="20"/>
      <c r="H345" s="20"/>
    </row>
    <row r="346" spans="1:8" x14ac:dyDescent="0.25">
      <c r="A346" s="52"/>
      <c r="D346" s="22"/>
      <c r="E346" s="22"/>
      <c r="F346" s="20"/>
      <c r="G346" s="20"/>
      <c r="H346" s="20"/>
    </row>
    <row r="347" spans="1:8" x14ac:dyDescent="0.25">
      <c r="A347" s="52"/>
      <c r="D347" s="22"/>
      <c r="E347" s="22"/>
      <c r="F347" s="20"/>
      <c r="G347" s="20"/>
      <c r="H347" s="20"/>
    </row>
    <row r="348" spans="1:8" x14ac:dyDescent="0.25">
      <c r="A348" s="52"/>
      <c r="D348" s="22"/>
      <c r="E348" s="22"/>
      <c r="F348" s="20"/>
      <c r="G348" s="20"/>
      <c r="H348" s="20"/>
    </row>
    <row r="349" spans="1:8" x14ac:dyDescent="0.25">
      <c r="A349" s="52"/>
      <c r="D349" s="22"/>
      <c r="E349" s="22"/>
      <c r="F349" s="20"/>
      <c r="G349" s="20"/>
      <c r="H349" s="20"/>
    </row>
  </sheetData>
  <phoneticPr fontId="0" type="noConversion"/>
  <pageMargins left="0.75" right="0.75" top="1" bottom="1" header="0.5" footer="0.5"/>
  <pageSetup orientation="portrait" horizont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K22"/>
  <sheetViews>
    <sheetView workbookViewId="0">
      <selection activeCell="I15" sqref="I15"/>
    </sheetView>
  </sheetViews>
  <sheetFormatPr defaultRowHeight="13.5" x14ac:dyDescent="0.25"/>
  <cols>
    <col min="1" max="1" width="3.85546875" customWidth="1"/>
    <col min="2" max="2" width="11.7109375" customWidth="1"/>
    <col min="3" max="5" width="9.7109375" customWidth="1"/>
    <col min="6" max="6" width="6.28515625" customWidth="1"/>
    <col min="7" max="9" width="9.7109375" customWidth="1"/>
    <col min="10" max="11" width="11.7109375" customWidth="1"/>
  </cols>
  <sheetData>
    <row r="1" spans="2:11" ht="19.899999999999999" customHeight="1" thickBot="1" x14ac:dyDescent="0.3">
      <c r="G1" s="93" t="s">
        <v>165</v>
      </c>
    </row>
    <row r="2" spans="2:11" ht="18.75" x14ac:dyDescent="0.25">
      <c r="B2" s="84" t="s">
        <v>153</v>
      </c>
      <c r="C2" s="77" t="s">
        <v>14</v>
      </c>
      <c r="D2" s="77" t="s">
        <v>154</v>
      </c>
      <c r="E2" s="79" t="s">
        <v>155</v>
      </c>
      <c r="G2" s="84" t="s">
        <v>14</v>
      </c>
      <c r="H2" s="95" t="s">
        <v>163</v>
      </c>
      <c r="I2" s="77" t="s">
        <v>164</v>
      </c>
      <c r="J2" s="95" t="s">
        <v>159</v>
      </c>
      <c r="K2" s="79" t="s">
        <v>153</v>
      </c>
    </row>
    <row r="3" spans="2:11" ht="16.149999999999999" customHeight="1" thickBot="1" x14ac:dyDescent="0.3">
      <c r="B3" s="85" t="s">
        <v>156</v>
      </c>
      <c r="C3" s="82" t="s">
        <v>3</v>
      </c>
      <c r="D3" s="82" t="s">
        <v>3</v>
      </c>
      <c r="E3" s="83" t="s">
        <v>3</v>
      </c>
      <c r="G3" s="85" t="s">
        <v>3</v>
      </c>
      <c r="H3" s="96" t="s">
        <v>3</v>
      </c>
      <c r="I3" s="82" t="s">
        <v>3</v>
      </c>
      <c r="J3" s="96" t="s">
        <v>160</v>
      </c>
      <c r="K3" s="83" t="s">
        <v>156</v>
      </c>
    </row>
    <row r="4" spans="2:11" ht="19.899999999999999" customHeight="1" x14ac:dyDescent="0.25">
      <c r="B4" s="86">
        <v>1000</v>
      </c>
      <c r="C4" s="76">
        <f>curves!E5</f>
        <v>33847.249206043416</v>
      </c>
      <c r="D4" s="76">
        <f>curves!L5</f>
        <v>43084.542687015557</v>
      </c>
      <c r="E4" s="80">
        <f>curves!N5</f>
        <v>28005.435425203257</v>
      </c>
      <c r="G4" s="97">
        <v>7572.9288742715844</v>
      </c>
      <c r="H4" s="98">
        <v>8239.5517926686334</v>
      </c>
      <c r="I4" s="98">
        <v>6957.9877160910801</v>
      </c>
      <c r="J4" s="108">
        <v>50</v>
      </c>
      <c r="K4" s="109">
        <v>2</v>
      </c>
    </row>
    <row r="5" spans="2:11" ht="19.899999999999999" customHeight="1" x14ac:dyDescent="0.25">
      <c r="B5" s="91">
        <v>500</v>
      </c>
      <c r="C5" s="88">
        <f>curves!E6</f>
        <v>30363.400377604532</v>
      </c>
      <c r="D5" s="89">
        <f>curves!L6</f>
        <v>38070.147264819811</v>
      </c>
      <c r="E5" s="90">
        <f>curves!N6</f>
        <v>25409.120046378164</v>
      </c>
      <c r="G5" s="99">
        <v>20071.043046069972</v>
      </c>
      <c r="H5" s="100">
        <v>23805.780309390811</v>
      </c>
      <c r="I5" s="105">
        <v>17501.149803855649</v>
      </c>
      <c r="J5" s="110">
        <v>2</v>
      </c>
      <c r="K5" s="111">
        <v>50</v>
      </c>
    </row>
    <row r="6" spans="2:11" ht="19.899999999999999" customHeight="1" x14ac:dyDescent="0.25">
      <c r="B6" s="86">
        <v>200</v>
      </c>
      <c r="C6" s="76">
        <f>curves!E7</f>
        <v>26046.8841254338</v>
      </c>
      <c r="D6" s="76">
        <f>curves!L7</f>
        <v>31978.76253135343</v>
      </c>
      <c r="E6" s="80">
        <f>curves!N7</f>
        <v>22141.286697837138</v>
      </c>
      <c r="G6" s="101"/>
      <c r="H6" s="102"/>
      <c r="I6" s="106"/>
      <c r="J6" s="112"/>
      <c r="K6" s="113"/>
    </row>
    <row r="7" spans="2:11" ht="19.899999999999999" customHeight="1" x14ac:dyDescent="0.25">
      <c r="B7" s="91">
        <v>100</v>
      </c>
      <c r="C7" s="88">
        <f>curves!E8</f>
        <v>22981.830209375257</v>
      </c>
      <c r="D7" s="89">
        <f>curves!L8</f>
        <v>27745.365811566535</v>
      </c>
      <c r="E7" s="90">
        <f>curves!N8</f>
        <v>19780.497891932038</v>
      </c>
      <c r="G7" s="99"/>
      <c r="H7" s="100"/>
      <c r="I7" s="105"/>
      <c r="J7" s="110"/>
      <c r="K7" s="111"/>
    </row>
    <row r="8" spans="2:11" ht="19.899999999999999" customHeight="1" x14ac:dyDescent="0.25">
      <c r="B8" s="86">
        <v>50</v>
      </c>
      <c r="C8" s="76">
        <f>curves!E9</f>
        <v>20071.04304606999</v>
      </c>
      <c r="D8" s="76">
        <f>curves!L9</f>
        <v>23805.780309390819</v>
      </c>
      <c r="E8" s="80">
        <f>curves!N9</f>
        <v>17501.149803855653</v>
      </c>
      <c r="G8" s="101"/>
      <c r="H8" s="102"/>
      <c r="I8" s="106"/>
      <c r="J8" s="112"/>
      <c r="K8" s="113"/>
    </row>
    <row r="9" spans="2:11" ht="19.899999999999999" customHeight="1" x14ac:dyDescent="0.25">
      <c r="B9" s="91">
        <v>25</v>
      </c>
      <c r="C9" s="76">
        <f>curves!E10</f>
        <v>17294.711768410543</v>
      </c>
      <c r="D9" s="76">
        <f>curves!L10</f>
        <v>20132.336195741267</v>
      </c>
      <c r="E9" s="80">
        <f>curves!N10</f>
        <v>15285.819040989367</v>
      </c>
      <c r="G9" s="99"/>
      <c r="H9" s="100"/>
      <c r="I9" s="105"/>
      <c r="J9" s="110"/>
      <c r="K9" s="111"/>
    </row>
    <row r="10" spans="2:11" ht="19.899999999999999" customHeight="1" x14ac:dyDescent="0.25">
      <c r="B10" s="91">
        <v>20</v>
      </c>
      <c r="C10" s="88">
        <f>curves!E11</f>
        <v>16425.362961804247</v>
      </c>
      <c r="D10" s="89">
        <f>curves!L11</f>
        <v>19001.176865481495</v>
      </c>
      <c r="E10" s="90">
        <f>curves!N11</f>
        <v>14582.273364264312</v>
      </c>
      <c r="G10" s="101"/>
      <c r="H10" s="102"/>
      <c r="I10" s="106"/>
      <c r="J10" s="112"/>
      <c r="K10" s="113"/>
    </row>
    <row r="11" spans="2:11" ht="19.899999999999999" customHeight="1" x14ac:dyDescent="0.25">
      <c r="B11" s="86">
        <v>10</v>
      </c>
      <c r="C11" s="76">
        <f>curves!E12</f>
        <v>13782.58491000637</v>
      </c>
      <c r="D11" s="76">
        <f>curves!L12</f>
        <v>15627.309289588491</v>
      </c>
      <c r="E11" s="80">
        <f>curves!N12</f>
        <v>12407.902553271282</v>
      </c>
      <c r="G11" s="99"/>
      <c r="H11" s="100"/>
      <c r="I11" s="105"/>
      <c r="J11" s="110"/>
      <c r="K11" s="111"/>
    </row>
    <row r="12" spans="2:11" ht="19.899999999999999" customHeight="1" x14ac:dyDescent="0.25">
      <c r="B12" s="91">
        <v>5</v>
      </c>
      <c r="C12" s="88">
        <f>curves!E13</f>
        <v>11182.441029503467</v>
      </c>
      <c r="D12" s="89">
        <f>curves!L13</f>
        <v>12422.508112993481</v>
      </c>
      <c r="E12" s="90">
        <f>curves!N13</f>
        <v>10200.502211964194</v>
      </c>
      <c r="G12" s="99"/>
      <c r="H12" s="100"/>
      <c r="I12" s="105"/>
      <c r="J12" s="110"/>
      <c r="K12" s="111"/>
    </row>
    <row r="13" spans="2:11" ht="19.899999999999999" customHeight="1" thickBot="1" x14ac:dyDescent="0.3">
      <c r="B13" s="86">
        <v>3.3330000000000002</v>
      </c>
      <c r="C13" s="76">
        <f>curves!E14</f>
        <v>9639.4722272773706</v>
      </c>
      <c r="D13" s="76">
        <f>curves!L14</f>
        <v>10589.832239576504</v>
      </c>
      <c r="E13" s="80">
        <f>curves!N14</f>
        <v>8845.6182341267177</v>
      </c>
      <c r="G13" s="103"/>
      <c r="H13" s="104"/>
      <c r="I13" s="107"/>
      <c r="J13" s="114"/>
      <c r="K13" s="115"/>
    </row>
    <row r="14" spans="2:11" ht="19.899999999999999" customHeight="1" x14ac:dyDescent="0.25">
      <c r="B14" s="91">
        <v>2.5</v>
      </c>
      <c r="C14" s="88">
        <f>curves!E15</f>
        <v>8503.6566518737727</v>
      </c>
      <c r="D14" s="89">
        <f>curves!L15</f>
        <v>9281.8117605688385</v>
      </c>
      <c r="E14" s="90">
        <f>curves!N15</f>
        <v>7819.7392537273181</v>
      </c>
    </row>
    <row r="15" spans="2:11" ht="19.899999999999999" customHeight="1" x14ac:dyDescent="0.25">
      <c r="B15" s="86">
        <v>2</v>
      </c>
      <c r="C15" s="76">
        <f>curves!E16</f>
        <v>7572.9288742715908</v>
      </c>
      <c r="D15" s="76">
        <f>curves!L16</f>
        <v>8239.5517926686407</v>
      </c>
      <c r="E15" s="80">
        <f>curves!N16</f>
        <v>6957.9877160910837</v>
      </c>
    </row>
    <row r="16" spans="2:11" ht="19.899999999999999" customHeight="1" x14ac:dyDescent="0.25">
      <c r="B16" s="91">
        <v>1.667</v>
      </c>
      <c r="C16" s="88">
        <f>curves!E17</f>
        <v>6751.8318522348491</v>
      </c>
      <c r="D16" s="89">
        <f>curves!L17</f>
        <v>7343.1652241203165</v>
      </c>
      <c r="E16" s="90">
        <f>curves!N17</f>
        <v>6181.3413593507566</v>
      </c>
    </row>
    <row r="17" spans="2:5" ht="19.899999999999999" customHeight="1" x14ac:dyDescent="0.25">
      <c r="B17" s="86">
        <v>1.429</v>
      </c>
      <c r="C17" s="76">
        <f>curves!E18</f>
        <v>5979.6755543561958</v>
      </c>
      <c r="D17" s="76">
        <f>curves!L18</f>
        <v>6518.9143707048534</v>
      </c>
      <c r="E17" s="80">
        <f>curves!N18</f>
        <v>5438.3224056082308</v>
      </c>
    </row>
    <row r="18" spans="2:5" ht="19.899999999999999" customHeight="1" x14ac:dyDescent="0.25">
      <c r="B18" s="92">
        <v>1.25</v>
      </c>
      <c r="C18" s="88">
        <f>curves!E19</f>
        <v>5196.3575326040109</v>
      </c>
      <c r="D18" s="89">
        <f>curves!L19</f>
        <v>5698.167354998337</v>
      </c>
      <c r="E18" s="90">
        <f>curves!N19</f>
        <v>4675.4466291794033</v>
      </c>
    </row>
    <row r="19" spans="2:5" ht="19.899999999999999" customHeight="1" x14ac:dyDescent="0.25">
      <c r="B19" s="86">
        <v>1.111</v>
      </c>
      <c r="C19" s="76">
        <f>curves!E20</f>
        <v>4289.986765868588</v>
      </c>
      <c r="D19" s="76">
        <f>curves!L20</f>
        <v>4761.1381457990965</v>
      </c>
      <c r="E19" s="80">
        <f>curves!N20</f>
        <v>3788.4439324623841</v>
      </c>
    </row>
    <row r="20" spans="2:5" ht="19.899999999999999" customHeight="1" x14ac:dyDescent="0.25">
      <c r="B20" s="91">
        <v>1.0529999999999999</v>
      </c>
      <c r="C20" s="88">
        <f>curves!E21</f>
        <v>3671.7016075559313</v>
      </c>
      <c r="D20" s="89">
        <f>curves!L21</f>
        <v>4124.7425774724816</v>
      </c>
      <c r="E20" s="90">
        <f>curves!N21</f>
        <v>3185.9767572569663</v>
      </c>
    </row>
    <row r="21" spans="2:5" ht="19.899999999999999" customHeight="1" x14ac:dyDescent="0.25">
      <c r="B21" s="92">
        <v>1.02</v>
      </c>
      <c r="C21" s="88">
        <f>curves!E22</f>
        <v>3090.5420211201354</v>
      </c>
      <c r="D21" s="89">
        <f>curves!L22</f>
        <v>3524.7305196053139</v>
      </c>
      <c r="E21" s="90">
        <f>curves!N22</f>
        <v>2625.6728730868099</v>
      </c>
    </row>
    <row r="22" spans="2:5" ht="19.899999999999999" customHeight="1" thickBot="1" x14ac:dyDescent="0.3">
      <c r="B22" s="87">
        <v>1.01</v>
      </c>
      <c r="C22" s="78">
        <f>curves!E23</f>
        <v>2759.7497603407</v>
      </c>
      <c r="D22" s="78">
        <f>curves!L23</f>
        <v>3181.0167796080555</v>
      </c>
      <c r="E22" s="81">
        <f>curves!N23</f>
        <v>2310.7745783941564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
  <sheetViews>
    <sheetView workbookViewId="0">
      <selection activeCell="Z12" sqref="Z12"/>
    </sheetView>
  </sheetViews>
  <sheetFormatPr defaultRowHeight="13.5" x14ac:dyDescent="0.25"/>
  <sheetData/>
  <phoneticPr fontId="0" type="noConversion"/>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N205"/>
  <sheetViews>
    <sheetView workbookViewId="0">
      <pane ySplit="2" topLeftCell="A3" activePane="bottomLeft" state="frozen"/>
      <selection activeCell="B43" sqref="B43"/>
      <selection pane="bottomLeft" activeCell="A19" sqref="A19"/>
    </sheetView>
  </sheetViews>
  <sheetFormatPr defaultRowHeight="13.5" x14ac:dyDescent="0.25"/>
  <cols>
    <col min="1" max="1" width="9.28515625" bestFit="1" customWidth="1"/>
    <col min="2" max="2" width="9.42578125" bestFit="1" customWidth="1"/>
    <col min="3" max="5" width="9.28515625" bestFit="1" customWidth="1"/>
    <col min="7" max="8" width="9.28515625" bestFit="1" customWidth="1"/>
    <col min="9" max="9" width="9.5703125" bestFit="1" customWidth="1"/>
    <col min="10" max="10" width="9.28515625" bestFit="1" customWidth="1"/>
    <col min="13" max="13" width="10.7109375" customWidth="1"/>
  </cols>
  <sheetData>
    <row r="1" spans="1:14" ht="15" x14ac:dyDescent="0.3">
      <c r="A1" s="10" t="s">
        <v>52</v>
      </c>
      <c r="B1" s="2"/>
      <c r="C1" s="4"/>
      <c r="D1" s="2"/>
      <c r="E1" s="3"/>
      <c r="G1" s="2"/>
      <c r="L1" s="124" t="s">
        <v>238</v>
      </c>
      <c r="M1" s="125"/>
      <c r="N1" s="125"/>
    </row>
    <row r="2" spans="1:14" ht="14.25" thickBot="1" x14ac:dyDescent="0.3">
      <c r="A2" s="14" t="s">
        <v>25</v>
      </c>
      <c r="B2" s="14" t="s">
        <v>34</v>
      </c>
      <c r="C2" s="14" t="s">
        <v>32</v>
      </c>
      <c r="D2" s="14" t="s">
        <v>12</v>
      </c>
      <c r="E2" s="14" t="s">
        <v>33</v>
      </c>
      <c r="F2" s="14"/>
      <c r="G2" s="14" t="s">
        <v>129</v>
      </c>
      <c r="H2" s="14" t="s">
        <v>33</v>
      </c>
      <c r="I2" s="14" t="s">
        <v>140</v>
      </c>
      <c r="J2" s="14" t="s">
        <v>33</v>
      </c>
      <c r="L2" s="14" t="s">
        <v>12</v>
      </c>
      <c r="M2" s="14" t="s">
        <v>129</v>
      </c>
      <c r="N2" s="14" t="s">
        <v>140</v>
      </c>
    </row>
    <row r="3" spans="1:14" x14ac:dyDescent="0.25">
      <c r="A3">
        <v>1</v>
      </c>
      <c r="B3" s="54">
        <v>27700</v>
      </c>
      <c r="C3" s="3">
        <v>4.4424797690644482</v>
      </c>
      <c r="D3" s="3">
        <v>1.2345679012345678E-2</v>
      </c>
      <c r="E3" s="3">
        <f>NORMSINV(D3)+scale!C$34</f>
        <v>2.753802464359183</v>
      </c>
      <c r="F3" s="3"/>
      <c r="G3" s="3">
        <v>6.9895157264103849E-3</v>
      </c>
      <c r="H3" s="3">
        <f>NORMSINV(G3)+scale!C$34</f>
        <v>2.5421982387298456</v>
      </c>
      <c r="I3" s="3">
        <v>7.481296758104738E-3</v>
      </c>
      <c r="J3" s="3">
        <f>NORMSINV(I3)+scale!C$34</f>
        <v>2.5667168152890576</v>
      </c>
      <c r="K3" s="3"/>
      <c r="L3" s="5">
        <v>22263.250770868461</v>
      </c>
      <c r="M3" s="5">
        <v>24781.14220833579</v>
      </c>
      <c r="N3" s="5">
        <v>24477.867426057943</v>
      </c>
    </row>
    <row r="4" spans="1:14" x14ac:dyDescent="0.25">
      <c r="A4">
        <v>2</v>
      </c>
      <c r="B4" s="54">
        <v>20600</v>
      </c>
      <c r="C4" s="3">
        <v>4.3138672203691533</v>
      </c>
      <c r="D4" s="3">
        <v>2.4691358024691357E-2</v>
      </c>
      <c r="E4" s="3">
        <f>NORMSINV(D4)+scale!C$34</f>
        <v>3.0347275810282226</v>
      </c>
      <c r="F4" s="3"/>
      <c r="G4" s="3">
        <v>1.9470793809286069E-2</v>
      </c>
      <c r="H4" s="3">
        <f>NORMSINV(G4)+scale!C$34</f>
        <v>2.9351964054058919</v>
      </c>
      <c r="I4" s="3">
        <v>1.9950124688279301E-2</v>
      </c>
      <c r="J4" s="3">
        <f>NORMSINV(I4)+scale!C$34</f>
        <v>2.9452199023708996</v>
      </c>
      <c r="K4" s="3"/>
      <c r="L4" s="5">
        <v>19218.50778542331</v>
      </c>
      <c r="M4" s="5">
        <v>20215.405212499354</v>
      </c>
      <c r="N4" s="5">
        <v>20084.604416920076</v>
      </c>
    </row>
    <row r="5" spans="1:14" x14ac:dyDescent="0.25">
      <c r="A5">
        <v>3</v>
      </c>
      <c r="B5" s="54">
        <v>20100</v>
      </c>
      <c r="C5" s="3">
        <v>4.3031960574204886</v>
      </c>
      <c r="D5" s="3">
        <v>3.7037037037037035E-2</v>
      </c>
      <c r="E5" s="3">
        <f>NORMSINV(D5)+scale!C$34</f>
        <v>3.2138444387389229</v>
      </c>
      <c r="F5" s="3"/>
      <c r="G5" s="3">
        <v>3.1952071892161753E-2</v>
      </c>
      <c r="H5" s="3">
        <f>NORMSINV(G5)+scale!C$34</f>
        <v>3.1471519699295505</v>
      </c>
      <c r="I5" s="3">
        <v>3.2418952618453865E-2</v>
      </c>
      <c r="J5" s="3">
        <f>NORMSINV(I5)+scale!C$34</f>
        <v>3.1536259002532052</v>
      </c>
      <c r="K5" s="3"/>
      <c r="L5" s="5">
        <v>17648.854619319663</v>
      </c>
      <c r="M5" s="5">
        <v>18273.610301666758</v>
      </c>
      <c r="N5" s="5">
        <v>18215.337377225922</v>
      </c>
    </row>
    <row r="6" spans="1:14" x14ac:dyDescent="0.25">
      <c r="A6">
        <v>4</v>
      </c>
      <c r="B6" s="54">
        <v>16500</v>
      </c>
      <c r="C6" s="3">
        <v>4.2174839442139058</v>
      </c>
      <c r="D6" s="3">
        <v>4.9382716049382713E-2</v>
      </c>
      <c r="E6" s="3">
        <f>NORMSINV(D6)+scale!C$34</f>
        <v>3.3491315145262632</v>
      </c>
      <c r="F6" s="3"/>
      <c r="G6" s="3">
        <v>4.4433349975037444E-2</v>
      </c>
      <c r="H6" s="3">
        <f>NORMSINV(G6)+scale!C$34</f>
        <v>3.2985935978655814</v>
      </c>
      <c r="I6" s="3">
        <v>4.488778054862843E-2</v>
      </c>
      <c r="J6" s="3">
        <f>NORMSINV(I6)+scale!C$34</f>
        <v>3.3034171852103125</v>
      </c>
      <c r="K6" s="3"/>
      <c r="L6" s="5">
        <v>16477.737864661587</v>
      </c>
      <c r="M6" s="5">
        <v>16903.761426400026</v>
      </c>
      <c r="N6" s="5">
        <v>16864.190715651606</v>
      </c>
    </row>
    <row r="7" spans="1:14" x14ac:dyDescent="0.25">
      <c r="A7">
        <v>5</v>
      </c>
      <c r="B7" s="54">
        <v>14700</v>
      </c>
      <c r="C7" s="3">
        <v>4.1673173347481756</v>
      </c>
      <c r="D7" s="3">
        <v>6.1728395061728392E-2</v>
      </c>
      <c r="E7" s="3">
        <f>NORMSINV(D7)+scale!C$34</f>
        <v>3.4595749946995262</v>
      </c>
      <c r="F7" s="3"/>
      <c r="G7" s="3">
        <v>5.6914628057913121E-2</v>
      </c>
      <c r="H7" s="3">
        <f>NORMSINV(G7)+scale!C$34</f>
        <v>3.4187866158354647</v>
      </c>
      <c r="I7" s="3">
        <v>5.7356608478802987E-2</v>
      </c>
      <c r="J7" s="3">
        <f>NORMSINV(I7)+scale!C$34</f>
        <v>3.4226421879845175</v>
      </c>
      <c r="K7" s="3"/>
      <c r="L7" s="5">
        <v>15763.207200759793</v>
      </c>
      <c r="M7" s="5">
        <v>16031.688044082048</v>
      </c>
      <c r="N7" s="5">
        <v>16006.847748128284</v>
      </c>
    </row>
    <row r="8" spans="1:14" x14ac:dyDescent="0.25">
      <c r="A8">
        <v>6</v>
      </c>
      <c r="B8" s="54">
        <v>14600</v>
      </c>
      <c r="C8" s="3">
        <v>4.1643528557844371</v>
      </c>
      <c r="D8" s="3">
        <v>7.407407407407407E-2</v>
      </c>
      <c r="E8" s="3">
        <f>NORMSINV(D8)+scale!C$34</f>
        <v>3.5538964070818251</v>
      </c>
      <c r="F8" s="3"/>
      <c r="G8" s="3">
        <v>6.9395906140788804E-2</v>
      </c>
      <c r="H8" s="3">
        <f>NORMSINV(G8)+scale!C$34</f>
        <v>3.5196947854953295</v>
      </c>
      <c r="I8" s="3">
        <v>6.9825436408977551E-2</v>
      </c>
      <c r="J8" s="3">
        <f>NORMSINV(I8)+scale!C$34</f>
        <v>3.5229076086267712</v>
      </c>
      <c r="K8" s="3"/>
      <c r="L8" s="5">
        <v>15095.018384929959</v>
      </c>
      <c r="M8" s="5">
        <v>15344.816706254624</v>
      </c>
      <c r="N8" s="5">
        <v>15321.709925576302</v>
      </c>
    </row>
    <row r="9" spans="1:14" x14ac:dyDescent="0.25">
      <c r="A9">
        <v>7</v>
      </c>
      <c r="B9" s="54">
        <v>14300</v>
      </c>
      <c r="C9" s="3">
        <v>4.1553360374650614</v>
      </c>
      <c r="D9" s="3">
        <v>8.6419753086419748E-2</v>
      </c>
      <c r="E9" s="3">
        <f>NORMSINV(D9)+scale!C$34</f>
        <v>3.6368635344503746</v>
      </c>
      <c r="F9" s="3"/>
      <c r="G9" s="3">
        <v>8.1877184223664495E-2</v>
      </c>
      <c r="H9" s="3">
        <f>NORMSINV(G9)+scale!C$34</f>
        <v>3.6074448994130863</v>
      </c>
      <c r="I9" s="3">
        <v>8.2294264339152115E-2</v>
      </c>
      <c r="J9" s="3">
        <f>NORMSINV(I9)+scale!C$34</f>
        <v>3.6101964133124254</v>
      </c>
      <c r="K9" s="3"/>
      <c r="L9" s="5">
        <v>14455.153519163952</v>
      </c>
      <c r="M9" s="5">
        <v>14687.374099414948</v>
      </c>
      <c r="N9" s="5">
        <v>14665.897916780883</v>
      </c>
    </row>
    <row r="10" spans="1:14" x14ac:dyDescent="0.25">
      <c r="A10">
        <v>8</v>
      </c>
      <c r="B10" s="54">
        <v>13800</v>
      </c>
      <c r="C10" s="3">
        <v>4.139879086401236</v>
      </c>
      <c r="D10" s="3">
        <v>9.8765432098765427E-2</v>
      </c>
      <c r="E10" s="3">
        <f>NORMSINV(D10)+scale!C$34</f>
        <v>3.7113818322839363</v>
      </c>
      <c r="F10" s="3"/>
      <c r="G10" s="3">
        <v>9.4358462306540186E-2</v>
      </c>
      <c r="H10" s="3">
        <f>NORMSINV(G10)+scale!C$34</f>
        <v>3.6856157399827891</v>
      </c>
      <c r="I10" s="3">
        <v>9.4763092269326679E-2</v>
      </c>
      <c r="J10" s="3">
        <f>NORMSINV(I10)+scale!C$34</f>
        <v>3.6880179305788454</v>
      </c>
      <c r="K10" s="3"/>
      <c r="L10" s="5">
        <v>13842.411975543118</v>
      </c>
      <c r="M10" s="5">
        <v>14058.0993612154</v>
      </c>
      <c r="N10" s="5">
        <v>14038.156494947978</v>
      </c>
    </row>
    <row r="11" spans="1:14" x14ac:dyDescent="0.25">
      <c r="A11">
        <v>9</v>
      </c>
      <c r="B11" s="54">
        <v>13800</v>
      </c>
      <c r="C11" s="3">
        <v>4.139879086401236</v>
      </c>
      <c r="D11" s="3">
        <v>0.1111111111111111</v>
      </c>
      <c r="E11" s="3">
        <f>NORMSINV(D11)+scale!C$34</f>
        <v>3.7793596511526499</v>
      </c>
      <c r="F11" s="3"/>
      <c r="G11" s="3">
        <v>0.10683974038941588</v>
      </c>
      <c r="H11" s="3">
        <f>NORMSINV(G11)+scale!C$34</f>
        <v>3.756488703399564</v>
      </c>
      <c r="I11" s="3">
        <v>0.10723192019950124</v>
      </c>
      <c r="J11" s="3">
        <f>NORMSINV(I11)+scale!C$34</f>
        <v>3.7586157656668826</v>
      </c>
      <c r="K11" s="3"/>
      <c r="L11" s="5">
        <v>13466.118993783844</v>
      </c>
      <c r="M11" s="5">
        <v>13586.90687369998</v>
      </c>
      <c r="N11" s="5">
        <v>13575.771599118301</v>
      </c>
    </row>
    <row r="12" spans="1:14" x14ac:dyDescent="0.25">
      <c r="A12">
        <v>10</v>
      </c>
      <c r="B12" s="54">
        <v>13000</v>
      </c>
      <c r="C12" s="3">
        <v>4.1139433523068361</v>
      </c>
      <c r="D12" s="3">
        <v>0.12345679012345678</v>
      </c>
      <c r="E12" s="3">
        <f>NORMSINV(D12)+scale!C$34</f>
        <v>3.8421213963549761</v>
      </c>
      <c r="F12" s="3"/>
      <c r="G12" s="3">
        <v>0.11932101847229157</v>
      </c>
      <c r="H12" s="3">
        <f>NORMSINV(G12)+scale!C$34</f>
        <v>3.8216121943825443</v>
      </c>
      <c r="I12" s="3">
        <v>0.11970074812967581</v>
      </c>
      <c r="J12" s="3">
        <f>NORMSINV(I12)+scale!C$34</f>
        <v>3.8235159345466485</v>
      </c>
      <c r="K12" s="3"/>
      <c r="L12" s="5">
        <v>13123.005310745266</v>
      </c>
      <c r="M12" s="5">
        <v>13236.962532512236</v>
      </c>
      <c r="N12" s="5">
        <v>13226.458317366592</v>
      </c>
    </row>
    <row r="13" spans="1:14" x14ac:dyDescent="0.25">
      <c r="A13">
        <v>11</v>
      </c>
      <c r="B13" s="54">
        <v>12800</v>
      </c>
      <c r="C13" s="3">
        <v>4.1072099696478679</v>
      </c>
      <c r="D13" s="3">
        <v>0.13580246913580246</v>
      </c>
      <c r="E13" s="3">
        <f>NORMSINV(D13)+scale!C$34</f>
        <v>3.9006259347284447</v>
      </c>
      <c r="F13" s="3"/>
      <c r="G13" s="3">
        <v>0.13180229655516726</v>
      </c>
      <c r="H13" s="3">
        <f>NORMSINV(G13)+scale!C$34</f>
        <v>3.8820880320880997</v>
      </c>
      <c r="I13" s="3">
        <v>0.13216957605985036</v>
      </c>
      <c r="J13" s="3">
        <f>NORMSINV(I13)+scale!C$34</f>
        <v>3.8838061165657685</v>
      </c>
      <c r="K13" s="3"/>
      <c r="L13" s="5">
        <v>12788.63408717423</v>
      </c>
      <c r="M13" s="5">
        <v>12896.031356945487</v>
      </c>
      <c r="N13" s="5">
        <v>12886.133089657871</v>
      </c>
    </row>
    <row r="14" spans="1:14" x14ac:dyDescent="0.25">
      <c r="A14">
        <v>12</v>
      </c>
      <c r="B14" s="54">
        <v>12400</v>
      </c>
      <c r="C14" s="3">
        <v>4.0934216851622347</v>
      </c>
      <c r="D14" s="3">
        <v>0.14814814814814814</v>
      </c>
      <c r="E14" s="3">
        <f>NORMSINV(D14)+scale!C$34</f>
        <v>3.955591205127404</v>
      </c>
      <c r="F14" s="3"/>
      <c r="G14" s="3">
        <v>0.14428357463804292</v>
      </c>
      <c r="H14" s="3">
        <f>NORMSINV(G14)+scale!C$34</f>
        <v>3.9387298545872533</v>
      </c>
      <c r="I14" s="3">
        <v>0.14463840399002492</v>
      </c>
      <c r="J14" s="3">
        <f>NORMSINV(I14)+scale!C$34</f>
        <v>3.9402905625111861</v>
      </c>
      <c r="K14" s="3"/>
      <c r="L14" s="5">
        <v>12462.782567169943</v>
      </c>
      <c r="M14" s="5">
        <v>12563.881203927363</v>
      </c>
      <c r="N14" s="5">
        <v>12554.564647615869</v>
      </c>
    </row>
    <row r="15" spans="1:14" x14ac:dyDescent="0.25">
      <c r="A15">
        <v>13</v>
      </c>
      <c r="B15" s="54">
        <v>12200</v>
      </c>
      <c r="C15" s="3">
        <v>4.0863598306747475</v>
      </c>
      <c r="D15" s="3">
        <v>0.16049382716049382</v>
      </c>
      <c r="E15" s="3">
        <f>NORMSINV(D15)+scale!C$34</f>
        <v>4.00756967948079</v>
      </c>
      <c r="F15" s="3"/>
      <c r="G15" s="3">
        <v>0.15676485272091861</v>
      </c>
      <c r="H15" s="3">
        <f>NORMSINV(G15)+scale!C$34</f>
        <v>3.9921567214510043</v>
      </c>
      <c r="I15" s="3">
        <v>0.15710723192019949</v>
      </c>
      <c r="J15" s="3">
        <f>NORMSINV(I15)+scale!C$34</f>
        <v>3.9935818446795679</v>
      </c>
      <c r="K15" s="3"/>
      <c r="L15" s="5">
        <v>12145.23367060185</v>
      </c>
      <c r="M15" s="5">
        <v>12240.285909461949</v>
      </c>
      <c r="N15" s="5">
        <v>12231.527673547484</v>
      </c>
    </row>
    <row r="16" spans="1:14" x14ac:dyDescent="0.25">
      <c r="A16">
        <v>14</v>
      </c>
      <c r="B16" s="54">
        <v>12200</v>
      </c>
      <c r="C16" s="3">
        <v>4.0863598306747475</v>
      </c>
      <c r="D16" s="3">
        <v>0.1728395061728395</v>
      </c>
      <c r="E16" s="3">
        <f>NORMSINV(D16)+scale!C$34</f>
        <v>4.0569963038198935</v>
      </c>
      <c r="F16" s="3"/>
      <c r="G16" s="3">
        <v>0.1692461308037943</v>
      </c>
      <c r="H16" s="3">
        <f>NORMSINV(G16)+scale!C$34</f>
        <v>4.0428514105625082</v>
      </c>
      <c r="I16" s="3">
        <v>0.16957605985037405</v>
      </c>
      <c r="J16" s="3">
        <f>NORMSINV(I16)+scale!C$34</f>
        <v>4.0441581073993706</v>
      </c>
      <c r="K16" s="3"/>
      <c r="L16" s="5">
        <v>11835.775848492302</v>
      </c>
      <c r="M16" s="5">
        <v>11925.025134632642</v>
      </c>
      <c r="N16" s="5">
        <v>11916.802647327913</v>
      </c>
    </row>
    <row r="17" spans="1:14" x14ac:dyDescent="0.25">
      <c r="A17">
        <v>15</v>
      </c>
      <c r="B17" s="54">
        <v>11700</v>
      </c>
      <c r="C17" s="3">
        <v>4.0681858617461613</v>
      </c>
      <c r="D17" s="3">
        <v>0.18518518518518517</v>
      </c>
      <c r="E17" s="3">
        <f>NORMSINV(D17)+scale!C$34</f>
        <v>4.1042201811164105</v>
      </c>
      <c r="F17" s="3"/>
      <c r="G17" s="3">
        <v>0.18172740888666999</v>
      </c>
      <c r="H17" s="3">
        <f>NORMSINV(G17)+scale!C$34</f>
        <v>4.0911983164705035</v>
      </c>
      <c r="I17" s="3">
        <v>0.18204488778054861</v>
      </c>
      <c r="J17" s="3">
        <f>NORMSINV(I17)+scale!C$34</f>
        <v>4.0924003429118843</v>
      </c>
      <c r="K17" s="3"/>
      <c r="L17" s="5">
        <v>11534.202942084012</v>
      </c>
      <c r="M17" s="5">
        <v>11617.884215571528</v>
      </c>
      <c r="N17" s="5">
        <v>11610.175697225428</v>
      </c>
    </row>
    <row r="18" spans="1:14" x14ac:dyDescent="0.25">
      <c r="A18">
        <v>16</v>
      </c>
      <c r="B18" s="54">
        <v>11500</v>
      </c>
      <c r="C18" s="3">
        <v>4.0606978403536109</v>
      </c>
      <c r="D18" s="3">
        <v>0.19753086419753085</v>
      </c>
      <c r="E18" s="3">
        <f>NORMSINV(D18)+scale!C$34</f>
        <v>4.149526213642531</v>
      </c>
      <c r="F18" s="3"/>
      <c r="G18" s="3">
        <v>0.19420868696954569</v>
      </c>
      <c r="H18" s="3">
        <f>NORMSINV(G18)+scale!C$34</f>
        <v>4.1375089824997096</v>
      </c>
      <c r="I18" s="3">
        <v>0.19451371571072318</v>
      </c>
      <c r="J18" s="3">
        <f>NORMSINV(I18)+scale!C$34</f>
        <v>4.1386175368120259</v>
      </c>
      <c r="K18" s="3"/>
      <c r="L18" s="5">
        <v>11240.31404549846</v>
      </c>
      <c r="M18" s="5">
        <v>11318.654017292691</v>
      </c>
      <c r="N18" s="5">
        <v>11311.43845456475</v>
      </c>
    </row>
    <row r="19" spans="1:14" x14ac:dyDescent="0.25">
      <c r="A19">
        <v>17</v>
      </c>
      <c r="B19" s="54">
        <v>11500</v>
      </c>
      <c r="C19" s="3">
        <v>4.0606978403536109</v>
      </c>
      <c r="D19" s="3">
        <v>0.20987654320987653</v>
      </c>
      <c r="E19" s="3">
        <f>NORMSINV(D19)+scale!C$34</f>
        <v>4.1931503089380211</v>
      </c>
      <c r="F19" s="3"/>
      <c r="G19" s="3">
        <v>0.20668996505242135</v>
      </c>
      <c r="H19" s="3">
        <f>NORMSINV(G19)+scale!C$34</f>
        <v>4.1820398286691072</v>
      </c>
      <c r="I19" s="3">
        <v>0.20698254364089777</v>
      </c>
      <c r="J19" s="3">
        <f>NORMSINV(I19)+scale!C$34</f>
        <v>4.1830641468523959</v>
      </c>
      <c r="K19" s="3"/>
      <c r="L19" s="5">
        <v>11019.65225204677</v>
      </c>
      <c r="M19" s="5">
        <v>11071.913963160488</v>
      </c>
      <c r="N19" s="5">
        <v>11067.105190312213</v>
      </c>
    </row>
    <row r="20" spans="1:14" x14ac:dyDescent="0.25">
      <c r="A20">
        <v>18</v>
      </c>
      <c r="B20" s="54">
        <v>11200</v>
      </c>
      <c r="C20" s="3">
        <v>4.049218022670181</v>
      </c>
      <c r="D20" s="3">
        <v>0.22222222222222221</v>
      </c>
      <c r="E20" s="3">
        <f>NORMSINV(D20)+scale!C$34</f>
        <v>4.2352903262136126</v>
      </c>
      <c r="F20" s="3"/>
      <c r="G20" s="3">
        <v>0.21917124313529704</v>
      </c>
      <c r="H20" s="3">
        <f>NORMSINV(G20)+scale!C$34</f>
        <v>4.2250047836613938</v>
      </c>
      <c r="I20" s="3">
        <v>0.21945137157107233</v>
      </c>
      <c r="J20" s="3">
        <f>NORMSINV(I20)+scale!C$34</f>
        <v>4.2259525693270952</v>
      </c>
      <c r="K20" s="3"/>
      <c r="L20" s="5">
        <v>10819.49476228437</v>
      </c>
      <c r="M20" s="5">
        <v>10868.618750553271</v>
      </c>
      <c r="N20" s="5">
        <v>10864.099102837628</v>
      </c>
    </row>
    <row r="21" spans="1:14" x14ac:dyDescent="0.25">
      <c r="A21">
        <v>19</v>
      </c>
      <c r="B21" s="54">
        <v>11000</v>
      </c>
      <c r="C21" s="3">
        <v>4.0413926851582245</v>
      </c>
      <c r="D21" s="3">
        <v>0.23456790123456789</v>
      </c>
      <c r="E21" s="3">
        <f>NORMSINV(D21)+scale!C$34</f>
        <v>4.2761141251473562</v>
      </c>
      <c r="F21" s="3"/>
      <c r="G21" s="3">
        <v>0.2316525212181727</v>
      </c>
      <c r="H21" s="3">
        <f>NORMSINV(G21)+scale!C$34</f>
        <v>4.2665844902988255</v>
      </c>
      <c r="I21" s="3">
        <v>0.2319201995012469</v>
      </c>
      <c r="J21" s="3">
        <f>NORMSINV(I21)+scale!C$34</f>
        <v>4.2674622314624537</v>
      </c>
      <c r="K21" s="3"/>
      <c r="L21" s="5">
        <v>10622.972870070049</v>
      </c>
      <c r="M21" s="5">
        <v>10669.05631112387</v>
      </c>
      <c r="N21" s="5">
        <v>10664.816795958157</v>
      </c>
    </row>
    <row r="22" spans="1:14" x14ac:dyDescent="0.25">
      <c r="A22">
        <v>20</v>
      </c>
      <c r="B22" s="54">
        <v>10700</v>
      </c>
      <c r="C22" s="3">
        <v>4.0293837776852088</v>
      </c>
      <c r="D22" s="3">
        <v>0.24691358024691357</v>
      </c>
      <c r="E22" s="3">
        <f>NORMSINV(D22)+scale!C$34</f>
        <v>4.3157655956483119</v>
      </c>
      <c r="F22" s="3"/>
      <c r="G22" s="3">
        <v>0.24413379930104839</v>
      </c>
      <c r="H22" s="3">
        <f>NORMSINV(G22)+scale!C$34</f>
        <v>4.3069331476357577</v>
      </c>
      <c r="I22" s="3">
        <v>0.24438902743142146</v>
      </c>
      <c r="J22" s="3">
        <f>NORMSINV(I22)+scale!C$34</f>
        <v>4.3077463544261407</v>
      </c>
      <c r="K22" s="3"/>
      <c r="L22" s="5">
        <v>10430.020539555955</v>
      </c>
      <c r="M22" s="5">
        <v>10473.15810614275</v>
      </c>
      <c r="N22" s="5">
        <v>10469.189963633848</v>
      </c>
    </row>
    <row r="23" spans="1:14" x14ac:dyDescent="0.25">
      <c r="A23">
        <v>21</v>
      </c>
      <c r="B23" s="54">
        <v>10700</v>
      </c>
      <c r="C23" s="3">
        <v>4.0293837776852088</v>
      </c>
      <c r="D23" s="3">
        <v>0.25925925925925924</v>
      </c>
      <c r="E23" s="3">
        <f>NORMSINV(D23)+scale!C$34</f>
        <v>4.3543692507240177</v>
      </c>
      <c r="F23" s="3"/>
      <c r="G23" s="3">
        <v>0.25661507738392408</v>
      </c>
      <c r="H23" s="3">
        <f>NORMSINV(G23)+scale!C$34</f>
        <v>4.3461836861280636</v>
      </c>
      <c r="I23" s="3">
        <v>0.256857855361596</v>
      </c>
      <c r="J23" s="3">
        <f>NORMSINV(I23)+scale!C$34</f>
        <v>4.3469370720201423</v>
      </c>
      <c r="K23" s="3"/>
      <c r="L23" s="5">
        <v>10240.572934348649</v>
      </c>
      <c r="M23" s="5">
        <v>10280.856855343491</v>
      </c>
      <c r="N23" s="5">
        <v>10277.151552775882</v>
      </c>
    </row>
    <row r="24" spans="1:14" x14ac:dyDescent="0.25">
      <c r="A24">
        <v>22</v>
      </c>
      <c r="B24" s="54">
        <v>10100</v>
      </c>
      <c r="C24" s="3">
        <v>4.0043213737826422</v>
      </c>
      <c r="D24" s="3">
        <v>0.27160493827160492</v>
      </c>
      <c r="E24" s="3">
        <f>NORMSINV(D24)+scale!C$34</f>
        <v>4.3920337774103606</v>
      </c>
      <c r="F24" s="3"/>
      <c r="G24" s="3">
        <v>0.26909635546679977</v>
      </c>
      <c r="H24" s="3">
        <f>NORMSINV(G24)+scale!C$34</f>
        <v>4.3844517436773804</v>
      </c>
      <c r="I24" s="3">
        <v>0.26932668329177056</v>
      </c>
      <c r="J24" s="3">
        <f>NORMSINV(I24)+scale!C$34</f>
        <v>4.3851493656326355</v>
      </c>
      <c r="K24" s="3"/>
      <c r="L24" s="5">
        <v>10054.566395722415</v>
      </c>
      <c r="M24" s="5">
        <v>10092.086513815742</v>
      </c>
      <c r="N24" s="5">
        <v>10088.63574026344</v>
      </c>
    </row>
    <row r="25" spans="1:14" x14ac:dyDescent="0.25">
      <c r="A25">
        <v>23</v>
      </c>
      <c r="B25" s="54">
        <v>10100</v>
      </c>
      <c r="C25" s="3">
        <v>4.0043213737826422</v>
      </c>
      <c r="D25" s="3">
        <v>0.2839506172839506</v>
      </c>
      <c r="E25" s="3">
        <f>NORMSINV(D25)+scale!C$34</f>
        <v>4.4288548194404935</v>
      </c>
      <c r="F25" s="3"/>
      <c r="G25" s="3">
        <v>0.28157763354967547</v>
      </c>
      <c r="H25" s="3">
        <f>NORMSINV(G25)+scale!C$34</f>
        <v>4.4218387638051482</v>
      </c>
      <c r="I25" s="3">
        <v>0.28179551122194513</v>
      </c>
      <c r="J25" s="3">
        <f>NORMSINV(I25)+scale!C$34</f>
        <v>4.422484132007205</v>
      </c>
      <c r="K25" s="3"/>
      <c r="L25" s="5">
        <v>9871.9384212286404</v>
      </c>
      <c r="M25" s="5">
        <v>9906.7822493224176</v>
      </c>
      <c r="N25" s="5">
        <v>9903.5779103821496</v>
      </c>
    </row>
    <row r="26" spans="1:14" x14ac:dyDescent="0.25">
      <c r="A26">
        <v>24</v>
      </c>
      <c r="B26" s="54">
        <v>9910</v>
      </c>
      <c r="C26" s="3">
        <v>3.9960736544852749</v>
      </c>
      <c r="D26" s="3">
        <v>0.29629629629629628</v>
      </c>
      <c r="E26" s="3">
        <f>NORMSINV(D26)+scale!C$34</f>
        <v>4.4649171849136779</v>
      </c>
      <c r="F26" s="3"/>
      <c r="G26" s="3">
        <v>0.29405891163255116</v>
      </c>
      <c r="H26" s="3">
        <f>NORMSINV(G26)+scale!C$34</f>
        <v>4.4584344409953536</v>
      </c>
      <c r="I26" s="3">
        <v>0.29426433915211969</v>
      </c>
      <c r="J26" s="3">
        <f>NORMSINV(I26)+scale!C$34</f>
        <v>4.4590306057442533</v>
      </c>
      <c r="K26" s="3"/>
      <c r="L26" s="5">
        <v>9692.6276436934422</v>
      </c>
      <c r="M26" s="5">
        <v>9724.8804200333889</v>
      </c>
      <c r="N26" s="5">
        <v>9721.9146326764039</v>
      </c>
    </row>
    <row r="27" spans="1:14" x14ac:dyDescent="0.25">
      <c r="A27">
        <v>25</v>
      </c>
      <c r="B27" s="54">
        <v>9660</v>
      </c>
      <c r="C27" s="3">
        <v>3.9849771264154934</v>
      </c>
      <c r="D27" s="3">
        <v>0.30864197530864196</v>
      </c>
      <c r="E27" s="3">
        <f>NORMSINV(D27)+scale!C$34</f>
        <v>4.5002966177922161</v>
      </c>
      <c r="F27" s="3"/>
      <c r="G27" s="3">
        <v>0.30654018971542685</v>
      </c>
      <c r="H27" s="3">
        <f>NORMSINV(G27)+scale!C$34</f>
        <v>4.4943186736891851</v>
      </c>
      <c r="I27" s="3">
        <v>0.30673316708229426</v>
      </c>
      <c r="J27" s="3">
        <f>NORMSINV(I27)+scale!C$34</f>
        <v>4.4948682948968113</v>
      </c>
      <c r="K27" s="3"/>
      <c r="L27" s="5">
        <v>9535.5975517266379</v>
      </c>
      <c r="M27" s="5">
        <v>9560.7570852822791</v>
      </c>
      <c r="N27" s="5">
        <v>9558.4442746473378</v>
      </c>
    </row>
    <row r="28" spans="1:14" x14ac:dyDescent="0.25">
      <c r="A28">
        <v>26</v>
      </c>
      <c r="B28" s="54">
        <v>9250</v>
      </c>
      <c r="C28" s="3">
        <v>3.9661417327390325</v>
      </c>
      <c r="D28" s="3">
        <v>0.32098765432098764</v>
      </c>
      <c r="E28" s="3">
        <f>NORMSINV(D28)+scale!C$34</f>
        <v>4.5350612345169194</v>
      </c>
      <c r="F28" s="3"/>
      <c r="G28" s="3">
        <v>0.31902146779830254</v>
      </c>
      <c r="H28" s="3">
        <f>NORMSINV(G28)+scale!C$34</f>
        <v>4.5295631412495299</v>
      </c>
      <c r="I28" s="3">
        <v>0.31920199501246882</v>
      </c>
      <c r="J28" s="3">
        <f>NORMSINV(I28)+scale!C$34</f>
        <v>4.5300685445117743</v>
      </c>
      <c r="K28" s="3"/>
      <c r="L28" s="5">
        <v>9389.1438948067007</v>
      </c>
      <c r="M28" s="5">
        <v>9412.3167762632947</v>
      </c>
      <c r="N28" s="5">
        <v>9410.1867546014091</v>
      </c>
    </row>
    <row r="29" spans="1:14" x14ac:dyDescent="0.25">
      <c r="A29">
        <v>27</v>
      </c>
      <c r="B29" s="54">
        <v>8590</v>
      </c>
      <c r="C29" s="3">
        <v>3.933993163831242</v>
      </c>
      <c r="D29" s="3">
        <v>0.33333333333333331</v>
      </c>
      <c r="E29" s="3">
        <f>NORMSINV(D29)+scale!C$34</f>
        <v>4.5692727007045422</v>
      </c>
      <c r="F29" s="3"/>
      <c r="G29" s="3">
        <v>0.33150274588117817</v>
      </c>
      <c r="H29" s="3">
        <f>NORMSINV(G29)+scale!C$34</f>
        <v>4.5642325904614269</v>
      </c>
      <c r="I29" s="3">
        <v>0.33167082294264338</v>
      </c>
      <c r="J29" s="3">
        <f>NORMSINV(I29)+scale!C$34</f>
        <v>4.5646958126508519</v>
      </c>
      <c r="K29" s="3"/>
      <c r="L29" s="5">
        <v>9244.9395645292698</v>
      </c>
      <c r="M29" s="5">
        <v>9266.1811513969569</v>
      </c>
      <c r="N29" s="5">
        <v>9264.2288025205726</v>
      </c>
    </row>
    <row r="30" spans="1:14" x14ac:dyDescent="0.25">
      <c r="A30">
        <v>28</v>
      </c>
      <c r="B30" s="54">
        <v>8480</v>
      </c>
      <c r="C30" s="3">
        <v>3.9283958522567137</v>
      </c>
      <c r="D30" s="3">
        <v>0.34567901234567899</v>
      </c>
      <c r="E30" s="3">
        <f>NORMSINV(D30)+scale!C$34</f>
        <v>4.6029872041412183</v>
      </c>
      <c r="F30" s="3"/>
      <c r="G30" s="3">
        <v>0.34398402396405386</v>
      </c>
      <c r="H30" s="3">
        <f>NORMSINV(G30)+scale!C$34</f>
        <v>4.5983858953779073</v>
      </c>
      <c r="I30" s="3">
        <v>0.34413965087281795</v>
      </c>
      <c r="J30" s="3">
        <f>NORMSINV(I30)+scale!C$34</f>
        <v>4.598808721963584</v>
      </c>
      <c r="K30" s="3"/>
      <c r="L30" s="5">
        <v>9102.9500143322857</v>
      </c>
      <c r="M30" s="5">
        <v>9122.3144281584136</v>
      </c>
      <c r="N30" s="5">
        <v>9120.5347506503549</v>
      </c>
    </row>
    <row r="31" spans="1:14" x14ac:dyDescent="0.25">
      <c r="A31">
        <v>29</v>
      </c>
      <c r="B31" s="54">
        <v>8240</v>
      </c>
      <c r="C31" s="3">
        <v>3.9159272116971153</v>
      </c>
      <c r="D31" s="3">
        <v>0.35802469135802467</v>
      </c>
      <c r="E31" s="3">
        <f>NORMSINV(D31)+scale!C$34</f>
        <v>4.6362562667457405</v>
      </c>
      <c r="F31" s="3"/>
      <c r="G31" s="3">
        <v>0.35646530204692956</v>
      </c>
      <c r="H31" s="3">
        <f>NORMSINV(G31)+scale!C$34</f>
        <v>4.6320769387032152</v>
      </c>
      <c r="I31" s="3">
        <v>0.35660847880299251</v>
      </c>
      <c r="J31" s="3">
        <f>NORMSINV(I31)+scale!C$34</f>
        <v>4.6324609344703234</v>
      </c>
      <c r="K31" s="3"/>
      <c r="L31" s="5">
        <v>8963.1412282413839</v>
      </c>
      <c r="M31" s="5">
        <v>8980.6813795823145</v>
      </c>
      <c r="N31" s="5">
        <v>8979.0694844656955</v>
      </c>
    </row>
    <row r="32" spans="1:14" x14ac:dyDescent="0.25">
      <c r="A32">
        <v>30</v>
      </c>
      <c r="B32" s="54">
        <v>8230</v>
      </c>
      <c r="C32" s="3">
        <v>3.915399835212269</v>
      </c>
      <c r="D32" s="3">
        <v>0.37037037037037035</v>
      </c>
      <c r="E32" s="3">
        <f>NORMSINV(D32)+scale!C$34</f>
        <v>4.6691274282735806</v>
      </c>
      <c r="F32" s="3"/>
      <c r="G32" s="3">
        <v>0.36894658012980525</v>
      </c>
      <c r="H32" s="3">
        <f>NORMSINV(G32)+scale!C$34</f>
        <v>4.6653553515461548</v>
      </c>
      <c r="I32" s="3">
        <v>0.36907730673316708</v>
      </c>
      <c r="J32" s="3">
        <f>NORMSINV(I32)+scale!C$34</f>
        <v>4.6657018859957189</v>
      </c>
      <c r="K32" s="3"/>
      <c r="L32" s="5">
        <v>8825.4797127207203</v>
      </c>
      <c r="M32" s="5">
        <v>8841.2473256371195</v>
      </c>
      <c r="N32" s="5">
        <v>8839.7984340900784</v>
      </c>
    </row>
    <row r="33" spans="1:14" x14ac:dyDescent="0.25">
      <c r="A33">
        <v>31</v>
      </c>
      <c r="B33" s="54">
        <v>8190</v>
      </c>
      <c r="C33" s="3">
        <v>3.9132839017604177</v>
      </c>
      <c r="D33" s="3">
        <v>0.38271604938271603</v>
      </c>
      <c r="E33" s="3">
        <f>NORMSINV(D33)+scale!C$34</f>
        <v>4.7016448272061186</v>
      </c>
      <c r="F33" s="3"/>
      <c r="G33" s="3">
        <v>0.38142785821268094</v>
      </c>
      <c r="H33" s="3">
        <f>NORMSINV(G33)+scale!C$34</f>
        <v>4.6982671400150968</v>
      </c>
      <c r="I33" s="3">
        <v>0.38154613466334164</v>
      </c>
      <c r="J33" s="3">
        <f>NORMSINV(I33)+scale!C$34</f>
        <v>4.6985774084326115</v>
      </c>
      <c r="K33" s="3"/>
      <c r="L33" s="5">
        <v>8689.9324886491031</v>
      </c>
      <c r="M33" s="5">
        <v>8703.9781247334467</v>
      </c>
      <c r="N33" s="5">
        <v>8702.6875658476092</v>
      </c>
    </row>
    <row r="34" spans="1:14" x14ac:dyDescent="0.25">
      <c r="A34">
        <v>32</v>
      </c>
      <c r="B34" s="54">
        <v>8180</v>
      </c>
      <c r="C34" s="3">
        <v>3.9127533036713231</v>
      </c>
      <c r="D34" s="3">
        <v>0.39506172839506171</v>
      </c>
      <c r="E34" s="3">
        <f>NORMSINV(D34)+scale!C$34</f>
        <v>4.7338496987931258</v>
      </c>
      <c r="F34" s="3"/>
      <c r="G34" s="3">
        <v>0.39390913629555663</v>
      </c>
      <c r="H34" s="3">
        <f>NORMSINV(G34)+scale!C$34</f>
        <v>4.7308552209052959</v>
      </c>
      <c r="I34" s="3">
        <v>0.3940149625935162</v>
      </c>
      <c r="J34" s="3">
        <f>NORMSINV(I34)+scale!C$34</f>
        <v>4.7311302618675448</v>
      </c>
      <c r="K34" s="3"/>
      <c r="L34" s="5">
        <v>8556.467083419253</v>
      </c>
      <c r="M34" s="5">
        <v>8568.8401653642304</v>
      </c>
      <c r="N34" s="5">
        <v>8567.7033739462859</v>
      </c>
    </row>
    <row r="35" spans="1:14" x14ac:dyDescent="0.25">
      <c r="A35">
        <v>33</v>
      </c>
      <c r="B35" s="54">
        <v>8020</v>
      </c>
      <c r="C35" s="3">
        <v>3.904174368284163</v>
      </c>
      <c r="D35" s="3">
        <v>0.40740740740740738</v>
      </c>
      <c r="E35" s="3">
        <f>NORMSINV(D35)+scale!C$34</f>
        <v>4.7657808060853801</v>
      </c>
      <c r="F35" s="3"/>
      <c r="G35" s="3">
        <v>0.40639041437843237</v>
      </c>
      <c r="H35" s="3">
        <f>NORMSINV(G35)+scale!C$34</f>
        <v>4.7631598840565497</v>
      </c>
      <c r="I35" s="3">
        <v>0.40648379052369077</v>
      </c>
      <c r="J35" s="3">
        <f>NORMSINV(I35)+scale!C$34</f>
        <v>4.7634005939788517</v>
      </c>
      <c r="K35" s="3"/>
      <c r="L35" s="5">
        <v>8429.7481435469399</v>
      </c>
      <c r="M35" s="5">
        <v>8439.8571743312677</v>
      </c>
      <c r="N35" s="5">
        <v>8438.9284992067915</v>
      </c>
    </row>
    <row r="36" spans="1:14" x14ac:dyDescent="0.25">
      <c r="A36">
        <v>34</v>
      </c>
      <c r="B36" s="54">
        <v>8010</v>
      </c>
      <c r="C36" s="3">
        <v>3.9036325160842371</v>
      </c>
      <c r="D36" s="3">
        <v>0.41975308641975306</v>
      </c>
      <c r="E36" s="3">
        <f>NORMSINV(D36)+scale!C$34</f>
        <v>4.7974748166535832</v>
      </c>
      <c r="F36" s="3"/>
      <c r="G36" s="3">
        <v>0.41887169246130806</v>
      </c>
      <c r="H36" s="3">
        <f>NORMSINV(G36)+scale!C$34</f>
        <v>4.7952191954207688</v>
      </c>
      <c r="I36" s="3">
        <v>0.41895261845386533</v>
      </c>
      <c r="J36" s="3">
        <f>NORMSINV(I36)+scale!C$34</f>
        <v>4.7954263406182438</v>
      </c>
      <c r="K36" s="3"/>
      <c r="L36" s="5">
        <v>8307.9920192807112</v>
      </c>
      <c r="M36" s="5">
        <v>8316.6259463790775</v>
      </c>
      <c r="N36" s="5">
        <v>8315.8328405104403</v>
      </c>
    </row>
    <row r="37" spans="1:14" x14ac:dyDescent="0.25">
      <c r="A37">
        <v>35</v>
      </c>
      <c r="B37" s="54">
        <v>8000</v>
      </c>
      <c r="C37" s="3">
        <v>3.9030899869919433</v>
      </c>
      <c r="D37" s="3">
        <v>0.43209876543209874</v>
      </c>
      <c r="E37" s="3">
        <f>NORMSINV(D37)+scale!C$34</f>
        <v>4.8289666352868892</v>
      </c>
      <c r="F37" s="3"/>
      <c r="G37" s="3">
        <v>0.43135297054418376</v>
      </c>
      <c r="H37" s="3">
        <f>NORMSINV(G37)+scale!C$34</f>
        <v>4.8270693521816117</v>
      </c>
      <c r="I37" s="3">
        <v>0.4314214463840399</v>
      </c>
      <c r="J37" s="3">
        <f>NORMSINV(I37)+scale!C$34</f>
        <v>4.8272435788177734</v>
      </c>
      <c r="K37" s="3"/>
      <c r="L37" s="5">
        <v>8188.5502553988608</v>
      </c>
      <c r="M37" s="5">
        <v>8195.5826444040049</v>
      </c>
      <c r="N37" s="5">
        <v>8194.9367074503934</v>
      </c>
    </row>
    <row r="38" spans="1:14" x14ac:dyDescent="0.25">
      <c r="A38">
        <v>36</v>
      </c>
      <c r="B38" s="54">
        <v>7650</v>
      </c>
      <c r="C38" s="3">
        <v>3.8836614351536172</v>
      </c>
      <c r="D38" s="3">
        <v>0.44444444444444442</v>
      </c>
      <c r="E38" s="3">
        <f>NORMSINV(D38)+scale!C$34</f>
        <v>4.8602897011181376</v>
      </c>
      <c r="F38" s="3"/>
      <c r="G38" s="3">
        <v>0.44383424862705939</v>
      </c>
      <c r="H38" s="3">
        <f>NORMSINV(G38)+scale!C$34</f>
        <v>4.8587449992024663</v>
      </c>
      <c r="I38" s="3">
        <v>0.44389027431421446</v>
      </c>
      <c r="J38" s="3">
        <f>NORMSINV(I38)+scale!C$34</f>
        <v>4.8588868414193298</v>
      </c>
      <c r="K38" s="3"/>
      <c r="L38" s="5">
        <v>8073.0108952062201</v>
      </c>
      <c r="M38" s="5">
        <v>8078.6830403271624</v>
      </c>
      <c r="N38" s="5">
        <v>8078.1620810188178</v>
      </c>
    </row>
    <row r="39" spans="1:14" x14ac:dyDescent="0.25">
      <c r="A39">
        <v>37</v>
      </c>
      <c r="B39" s="54">
        <v>7650</v>
      </c>
      <c r="C39" s="3">
        <v>3.8836614351536172</v>
      </c>
      <c r="D39" s="3">
        <v>0.4567901234567901</v>
      </c>
      <c r="E39" s="3">
        <f>NORMSINV(D39)+scale!C$34</f>
        <v>4.8914762562017309</v>
      </c>
      <c r="F39" s="3"/>
      <c r="G39" s="3">
        <v>0.45631552670993508</v>
      </c>
      <c r="H39" s="3">
        <f>NORMSINV(G39)+scale!C$34</f>
        <v>4.8902795144935887</v>
      </c>
      <c r="I39" s="3">
        <v>0.45635910224438903</v>
      </c>
      <c r="J39" s="3">
        <f>NORMSINV(I39)+scale!C$34</f>
        <v>4.8903894009541231</v>
      </c>
      <c r="K39" s="3"/>
      <c r="L39" s="5">
        <v>7959.1017800920563</v>
      </c>
      <c r="M39" s="5">
        <v>7963.4508610114672</v>
      </c>
      <c r="N39" s="5">
        <v>7963.0514471066444</v>
      </c>
    </row>
    <row r="40" spans="1:14" x14ac:dyDescent="0.25">
      <c r="A40">
        <v>38</v>
      </c>
      <c r="B40" s="54">
        <v>7580</v>
      </c>
      <c r="C40" s="3">
        <v>3.8796692056320534</v>
      </c>
      <c r="D40" s="3">
        <v>0.46913580246913578</v>
      </c>
      <c r="E40" s="3">
        <f>NORMSINV(D40)+scale!C$34</f>
        <v>4.9225575914784709</v>
      </c>
      <c r="F40" s="3"/>
      <c r="G40" s="3">
        <v>0.46879680479281077</v>
      </c>
      <c r="H40" s="3">
        <f>NORMSINV(G40)+scale!C$34</f>
        <v>4.9217052701744102</v>
      </c>
      <c r="I40" s="3">
        <v>0.46882793017456359</v>
      </c>
      <c r="J40" s="3">
        <f>NORMSINV(I40)+scale!C$34</f>
        <v>4.9217835291966381</v>
      </c>
      <c r="K40" s="3"/>
      <c r="L40" s="5">
        <v>7846.7999075141061</v>
      </c>
      <c r="M40" s="5">
        <v>7849.8623227550343</v>
      </c>
      <c r="N40" s="5">
        <v>7849.5810944746481</v>
      </c>
    </row>
    <row r="41" spans="1:14" x14ac:dyDescent="0.25">
      <c r="A41">
        <v>39</v>
      </c>
      <c r="B41" s="54">
        <v>7380</v>
      </c>
      <c r="C41" s="3">
        <v>3.868056361823041</v>
      </c>
      <c r="D41" s="3">
        <v>0.48148148148148145</v>
      </c>
      <c r="E41" s="3">
        <f>NORMSINV(D41)+scale!C$34</f>
        <v>4.9535642752294731</v>
      </c>
      <c r="F41" s="3"/>
      <c r="G41" s="3">
        <v>0.48127808287568646</v>
      </c>
      <c r="H41" s="3">
        <f>NORMSINV(G41)+scale!C$34</f>
        <v>4.9530538744830928</v>
      </c>
      <c r="I41" s="3">
        <v>0.48129675810473815</v>
      </c>
      <c r="J41" s="3">
        <f>NORMSINV(I41)+scale!C$34</f>
        <v>4.9531007379023997</v>
      </c>
      <c r="K41" s="3"/>
      <c r="L41" s="5">
        <v>7736.0825994929328</v>
      </c>
      <c r="M41" s="5">
        <v>7737.8939811003538</v>
      </c>
      <c r="N41" s="5">
        <v>7737.7276497594075</v>
      </c>
    </row>
    <row r="42" spans="1:14" x14ac:dyDescent="0.25">
      <c r="A42">
        <v>40</v>
      </c>
      <c r="B42" s="54">
        <v>7320</v>
      </c>
      <c r="C42" s="3">
        <v>3.8645110810583914</v>
      </c>
      <c r="D42" s="3">
        <v>0.49382716049382713</v>
      </c>
      <c r="E42" s="3">
        <f>NORMSINV(D42)+scale!C$34</f>
        <v>4.9845263684975407</v>
      </c>
      <c r="F42" s="3"/>
      <c r="G42" s="3">
        <v>0.49375936095856215</v>
      </c>
      <c r="H42" s="3">
        <f>NORMSINV(G42)+scale!C$34</f>
        <v>4.9843563996942608</v>
      </c>
      <c r="I42" s="3">
        <v>0.49376558603491272</v>
      </c>
      <c r="J42" s="3">
        <f>NORMSINV(I42)+scale!C$34</f>
        <v>4.9843720055541816</v>
      </c>
      <c r="K42" s="3"/>
      <c r="L42" s="5">
        <v>7626.9274980323953</v>
      </c>
      <c r="M42" s="5">
        <v>7627.5227259954027</v>
      </c>
      <c r="N42" s="5">
        <v>7627.4680726587685</v>
      </c>
    </row>
    <row r="43" spans="1:14" x14ac:dyDescent="0.25">
      <c r="A43">
        <v>41</v>
      </c>
      <c r="B43" s="54">
        <v>7190</v>
      </c>
      <c r="C43" s="3">
        <v>3.8567288903828825</v>
      </c>
      <c r="D43" s="3">
        <v>0.50617283950617287</v>
      </c>
      <c r="E43" s="3">
        <f>NORMSINV(D43)+scale!C$34</f>
        <v>5.0154736315024593</v>
      </c>
      <c r="F43" s="3"/>
      <c r="G43" s="3">
        <v>0.50624063904143779</v>
      </c>
      <c r="H43" s="3">
        <f>NORMSINV(G43)+scale!C$34</f>
        <v>5.0156436003057392</v>
      </c>
      <c r="I43" s="3">
        <v>0.50623441396508728</v>
      </c>
      <c r="J43" s="3">
        <f>NORMSINV(I43)+scale!C$34</f>
        <v>5.0156279944458184</v>
      </c>
      <c r="K43" s="3"/>
      <c r="L43" s="5">
        <v>7519.6696587521419</v>
      </c>
      <c r="M43" s="5">
        <v>7519.086769288805</v>
      </c>
      <c r="N43" s="5">
        <v>7519.1402859342215</v>
      </c>
    </row>
    <row r="44" spans="1:14" x14ac:dyDescent="0.25">
      <c r="A44">
        <v>42</v>
      </c>
      <c r="B44" s="54">
        <v>7170</v>
      </c>
      <c r="C44" s="3">
        <v>3.8555191556678001</v>
      </c>
      <c r="D44" s="3">
        <v>0.51851851851851849</v>
      </c>
      <c r="E44" s="3">
        <f>NORMSINV(D44)+scale!C$34</f>
        <v>5.0464357247705269</v>
      </c>
      <c r="F44" s="3"/>
      <c r="G44" s="3">
        <v>0.51872191712431348</v>
      </c>
      <c r="H44" s="3">
        <f>NORMSINV(G44)+scale!C$34</f>
        <v>5.0469461255169072</v>
      </c>
      <c r="I44" s="3">
        <v>0.51870324189526185</v>
      </c>
      <c r="J44" s="3">
        <f>NORMSINV(I44)+scale!C$34</f>
        <v>5.0468992620976003</v>
      </c>
      <c r="K44" s="3"/>
      <c r="L44" s="5">
        <v>7414.2722844783293</v>
      </c>
      <c r="M44" s="5">
        <v>7412.5482594613777</v>
      </c>
      <c r="N44" s="5">
        <v>7412.7065356799621</v>
      </c>
    </row>
    <row r="45" spans="1:14" x14ac:dyDescent="0.25">
      <c r="A45">
        <v>43</v>
      </c>
      <c r="B45" s="54">
        <v>7150</v>
      </c>
      <c r="C45" s="3">
        <v>3.8543060418010802</v>
      </c>
      <c r="D45" s="3">
        <v>0.53086419753086422</v>
      </c>
      <c r="E45" s="3">
        <f>NORMSINV(D45)+scale!C$34</f>
        <v>5.0774424085215291</v>
      </c>
      <c r="F45" s="3"/>
      <c r="G45" s="3">
        <v>0.53120319520718917</v>
      </c>
      <c r="H45" s="3">
        <f>NORMSINV(G45)+scale!C$34</f>
        <v>5.0782947298255898</v>
      </c>
      <c r="I45" s="3">
        <v>0.53117206982543641</v>
      </c>
      <c r="J45" s="3">
        <f>NORMSINV(I45)+scale!C$34</f>
        <v>5.0782164708033619</v>
      </c>
      <c r="K45" s="3"/>
      <c r="L45" s="5">
        <v>7310.3521834103794</v>
      </c>
      <c r="M45" s="5">
        <v>7307.5193018474802</v>
      </c>
      <c r="N45" s="5">
        <v>7307.7793596831771</v>
      </c>
    </row>
    <row r="46" spans="1:14" x14ac:dyDescent="0.25">
      <c r="A46">
        <v>44</v>
      </c>
      <c r="B46" s="54">
        <v>7110</v>
      </c>
      <c r="C46" s="3">
        <v>3.8518696007297661</v>
      </c>
      <c r="D46" s="3">
        <v>0.54320987654320985</v>
      </c>
      <c r="E46" s="3">
        <f>NORMSINV(D46)+scale!C$34</f>
        <v>5.1085237437982691</v>
      </c>
      <c r="F46" s="3"/>
      <c r="G46" s="3">
        <v>0.54368447329006486</v>
      </c>
      <c r="H46" s="3">
        <f>NORMSINV(G46)+scale!C$34</f>
        <v>5.1097204855064104</v>
      </c>
      <c r="I46" s="3">
        <v>0.54364089775561097</v>
      </c>
      <c r="J46" s="3">
        <f>NORMSINV(I46)+scale!C$34</f>
        <v>5.1096105990458769</v>
      </c>
      <c r="K46" s="3"/>
      <c r="L46" s="5">
        <v>7207.8886497561516</v>
      </c>
      <c r="M46" s="5">
        <v>7203.9785074874717</v>
      </c>
      <c r="N46" s="5">
        <v>7204.337432321242</v>
      </c>
    </row>
    <row r="47" spans="1:14" x14ac:dyDescent="0.25">
      <c r="A47">
        <v>45</v>
      </c>
      <c r="B47" s="54">
        <v>6930</v>
      </c>
      <c r="C47" s="3">
        <v>3.8407332346118066</v>
      </c>
      <c r="D47" s="3">
        <v>0.55555555555555558</v>
      </c>
      <c r="E47" s="3">
        <f>NORMSINV(D47)+scale!C$34</f>
        <v>5.1397102988818624</v>
      </c>
      <c r="F47" s="3"/>
      <c r="G47" s="3">
        <v>0.55616575137294055</v>
      </c>
      <c r="H47" s="3">
        <f>NORMSINV(G47)+scale!C$34</f>
        <v>5.1412550007975337</v>
      </c>
      <c r="I47" s="3">
        <v>0.55610972568578554</v>
      </c>
      <c r="J47" s="3">
        <f>NORMSINV(I47)+scale!C$34</f>
        <v>5.1411131585806702</v>
      </c>
      <c r="K47" s="3"/>
      <c r="L47" s="5">
        <v>7106.8612679405014</v>
      </c>
      <c r="M47" s="5">
        <v>7101.9047904835288</v>
      </c>
      <c r="N47" s="5">
        <v>7102.3597298366258</v>
      </c>
    </row>
    <row r="48" spans="1:14" x14ac:dyDescent="0.25">
      <c r="A48">
        <v>46</v>
      </c>
      <c r="B48" s="54">
        <v>6810</v>
      </c>
      <c r="C48" s="3">
        <v>3.8331471119127847</v>
      </c>
      <c r="D48" s="3">
        <v>0.5679012345679012</v>
      </c>
      <c r="E48" s="3">
        <f>NORMSINV(D48)+scale!C$34</f>
        <v>5.1710333647131108</v>
      </c>
      <c r="F48" s="3"/>
      <c r="G48" s="3">
        <v>0.56864702945581624</v>
      </c>
      <c r="H48" s="3">
        <f>NORMSINV(G48)+scale!C$34</f>
        <v>5.1729306478183883</v>
      </c>
      <c r="I48" s="3">
        <v>0.5685785536159601</v>
      </c>
      <c r="J48" s="3">
        <f>NORMSINV(I48)+scale!C$34</f>
        <v>5.1727564211822266</v>
      </c>
      <c r="K48" s="3"/>
      <c r="L48" s="5">
        <v>7007.2499085375821</v>
      </c>
      <c r="M48" s="5">
        <v>7001.2773637054897</v>
      </c>
      <c r="N48" s="5">
        <v>7001.8255260639562</v>
      </c>
    </row>
    <row r="49" spans="1:14" x14ac:dyDescent="0.25">
      <c r="A49">
        <v>47</v>
      </c>
      <c r="B49" s="54">
        <v>6770</v>
      </c>
      <c r="C49" s="3">
        <v>3.8305886686851442</v>
      </c>
      <c r="D49" s="3">
        <v>0.58024691358024694</v>
      </c>
      <c r="E49" s="3">
        <f>NORMSINV(D49)+scale!C$34</f>
        <v>5.2025251833464168</v>
      </c>
      <c r="F49" s="3"/>
      <c r="G49" s="3">
        <v>0.58112830753869194</v>
      </c>
      <c r="H49" s="3">
        <f>NORMSINV(G49)+scale!C$34</f>
        <v>5.2047808045792312</v>
      </c>
      <c r="I49" s="3">
        <v>0.58104738154613467</v>
      </c>
      <c r="J49" s="3">
        <f>NORMSINV(I49)+scale!C$34</f>
        <v>5.2045736593817562</v>
      </c>
      <c r="K49" s="3"/>
      <c r="L49" s="5">
        <v>6908.0414798720876</v>
      </c>
      <c r="M49" s="5">
        <v>6900.9948980507079</v>
      </c>
      <c r="N49" s="5">
        <v>6901.6415866109937</v>
      </c>
    </row>
    <row r="50" spans="1:14" x14ac:dyDescent="0.25">
      <c r="A50">
        <v>48</v>
      </c>
      <c r="B50" s="54">
        <v>6680</v>
      </c>
      <c r="C50" s="3">
        <v>3.8247764624755458</v>
      </c>
      <c r="D50" s="3">
        <v>0.59259259259259256</v>
      </c>
      <c r="E50" s="3">
        <f>NORMSINV(D50)+scale!C$34</f>
        <v>5.2342191939146199</v>
      </c>
      <c r="F50" s="3"/>
      <c r="G50" s="3">
        <v>0.59360958562156763</v>
      </c>
      <c r="H50" s="3">
        <f>NORMSINV(G50)+scale!C$34</f>
        <v>5.2368401159434503</v>
      </c>
      <c r="I50" s="3">
        <v>0.59351620947630923</v>
      </c>
      <c r="J50" s="3">
        <f>NORMSINV(I50)+scale!C$34</f>
        <v>5.2365994060211483</v>
      </c>
      <c r="K50" s="3"/>
      <c r="L50" s="5">
        <v>6809.9921695777948</v>
      </c>
      <c r="M50" s="5">
        <v>6801.9775300619149</v>
      </c>
      <c r="N50" s="5">
        <v>6802.7130080888528</v>
      </c>
    </row>
    <row r="51" spans="1:14" x14ac:dyDescent="0.25">
      <c r="A51">
        <v>49</v>
      </c>
      <c r="B51" s="54">
        <v>6670</v>
      </c>
      <c r="C51" s="3">
        <v>3.8241258339165487</v>
      </c>
      <c r="D51" s="3">
        <v>0.60493827160493829</v>
      </c>
      <c r="E51" s="3">
        <f>NORMSINV(D51)+scale!C$34</f>
        <v>5.2661503012068742</v>
      </c>
      <c r="F51" s="3"/>
      <c r="G51" s="3">
        <v>0.60609086370444332</v>
      </c>
      <c r="H51" s="3">
        <f>NORMSINV(G51)+scale!C$34</f>
        <v>5.2691447790947041</v>
      </c>
      <c r="I51" s="3">
        <v>0.6059850374064838</v>
      </c>
      <c r="J51" s="3">
        <f>NORMSINV(I51)+scale!C$34</f>
        <v>5.2688697381324552</v>
      </c>
      <c r="K51" s="3"/>
      <c r="L51" s="5">
        <v>6711.459537459089</v>
      </c>
      <c r="M51" s="5">
        <v>6702.0714436902717</v>
      </c>
      <c r="N51" s="5">
        <v>6702.9328723089002</v>
      </c>
    </row>
    <row r="52" spans="1:14" x14ac:dyDescent="0.25">
      <c r="A52">
        <v>50</v>
      </c>
      <c r="B52" s="54">
        <v>6550</v>
      </c>
      <c r="C52" s="3">
        <v>3.8162412999917827</v>
      </c>
      <c r="D52" s="3">
        <v>0.61728395061728392</v>
      </c>
      <c r="E52" s="3">
        <f>NORMSINV(D52)+scale!C$34</f>
        <v>5.2983551727938805</v>
      </c>
      <c r="F52" s="3"/>
      <c r="G52" s="3">
        <v>0.61857214178731901</v>
      </c>
      <c r="H52" s="3">
        <f>NORMSINV(G52)+scale!C$34</f>
        <v>5.3017328599849023</v>
      </c>
      <c r="I52" s="3">
        <v>0.61845386533665836</v>
      </c>
      <c r="J52" s="3">
        <f>NORMSINV(I52)+scale!C$34</f>
        <v>5.3014225915673885</v>
      </c>
      <c r="K52" s="3"/>
      <c r="L52" s="5">
        <v>6611.5817407611548</v>
      </c>
      <c r="M52" s="5">
        <v>6601.2461633925232</v>
      </c>
      <c r="N52" s="5">
        <v>6602.1944598625578</v>
      </c>
    </row>
    <row r="53" spans="1:14" x14ac:dyDescent="0.25">
      <c r="A53">
        <v>51</v>
      </c>
      <c r="B53" s="54">
        <v>6550</v>
      </c>
      <c r="C53" s="3">
        <v>3.8162412999917827</v>
      </c>
      <c r="D53" s="3">
        <v>0.62962962962962965</v>
      </c>
      <c r="E53" s="3">
        <f>NORMSINV(D53)+scale!C$34</f>
        <v>5.3308725717264194</v>
      </c>
      <c r="F53" s="3"/>
      <c r="G53" s="3">
        <v>0.6310534198701947</v>
      </c>
      <c r="H53" s="3">
        <f>NORMSINV(G53)+scale!C$34</f>
        <v>5.3346446484538452</v>
      </c>
      <c r="I53" s="3">
        <v>0.63092269326683292</v>
      </c>
      <c r="J53" s="3">
        <f>NORMSINV(I53)+scale!C$34</f>
        <v>5.3342981140042811</v>
      </c>
      <c r="K53" s="3"/>
      <c r="L53" s="5">
        <v>6513.1902935252938</v>
      </c>
      <c r="M53" s="5">
        <v>6501.9376883440964</v>
      </c>
      <c r="N53" s="5">
        <v>6502.9700455325001</v>
      </c>
    </row>
    <row r="54" spans="1:14" x14ac:dyDescent="0.25">
      <c r="A54">
        <v>52</v>
      </c>
      <c r="B54" s="54">
        <v>6520</v>
      </c>
      <c r="C54" s="3">
        <v>3.8142475957319202</v>
      </c>
      <c r="D54" s="3">
        <v>0.64197530864197527</v>
      </c>
      <c r="E54" s="3">
        <f>NORMSINV(D54)+scale!C$34</f>
        <v>5.3637437332542595</v>
      </c>
      <c r="F54" s="3"/>
      <c r="G54" s="3">
        <v>0.64353469795307039</v>
      </c>
      <c r="H54" s="3">
        <f>NORMSINV(G54)+scale!C$34</f>
        <v>5.3679230612967848</v>
      </c>
      <c r="I54" s="3">
        <v>0.64339152119700749</v>
      </c>
      <c r="J54" s="3">
        <f>NORMSINV(I54)+scale!C$34</f>
        <v>5.3675390655296766</v>
      </c>
      <c r="K54" s="3"/>
      <c r="L54" s="5">
        <v>6416.2630763736634</v>
      </c>
      <c r="M54" s="5">
        <v>6404.1231998812837</v>
      </c>
      <c r="N54" s="5">
        <v>6405.2368754332747</v>
      </c>
    </row>
    <row r="55" spans="1:14" x14ac:dyDescent="0.25">
      <c r="A55">
        <v>53</v>
      </c>
      <c r="B55" s="54">
        <v>6480</v>
      </c>
      <c r="C55" s="3">
        <v>3.8115750058705933</v>
      </c>
      <c r="D55" s="3">
        <v>0.65432098765432101</v>
      </c>
      <c r="E55" s="3">
        <f>NORMSINV(D55)+scale!C$34</f>
        <v>5.3970127958587817</v>
      </c>
      <c r="F55" s="3"/>
      <c r="G55" s="3">
        <v>0.65601597603594608</v>
      </c>
      <c r="H55" s="3">
        <f>NORMSINV(G55)+scale!C$34</f>
        <v>5.4016141046220927</v>
      </c>
      <c r="I55" s="3">
        <v>0.65586034912718205</v>
      </c>
      <c r="J55" s="3">
        <f>NORMSINV(I55)+scale!C$34</f>
        <v>5.401191278036416</v>
      </c>
      <c r="K55" s="3"/>
      <c r="L55" s="5">
        <v>6320.778299101933</v>
      </c>
      <c r="M55" s="5">
        <v>6307.7802226220238</v>
      </c>
      <c r="N55" s="5">
        <v>6308.972537647709</v>
      </c>
    </row>
    <row r="56" spans="1:14" x14ac:dyDescent="0.25">
      <c r="A56">
        <v>54</v>
      </c>
      <c r="B56" s="54">
        <v>6410</v>
      </c>
      <c r="C56" s="3">
        <v>3.8068580295188172</v>
      </c>
      <c r="D56" s="3">
        <v>0.66666666666666663</v>
      </c>
      <c r="E56" s="3">
        <f>NORMSINV(D56)+scale!C$34</f>
        <v>5.4307272992954578</v>
      </c>
      <c r="F56" s="3"/>
      <c r="G56" s="3">
        <v>0.66849725411882177</v>
      </c>
      <c r="H56" s="3">
        <f>NORMSINV(G56)+scale!C$34</f>
        <v>5.4357674095385731</v>
      </c>
      <c r="I56" s="3">
        <v>0.66832917705735662</v>
      </c>
      <c r="J56" s="3">
        <f>NORMSINV(I56)+scale!C$34</f>
        <v>5.4353041873491481</v>
      </c>
      <c r="K56" s="3"/>
      <c r="L56" s="5">
        <v>6226.7144957806322</v>
      </c>
      <c r="M56" s="5">
        <v>6212.8866193016338</v>
      </c>
      <c r="N56" s="5">
        <v>6214.1549570874504</v>
      </c>
    </row>
    <row r="57" spans="1:14" x14ac:dyDescent="0.25">
      <c r="A57">
        <v>55</v>
      </c>
      <c r="B57" s="54">
        <v>6360</v>
      </c>
      <c r="C57" s="3">
        <v>3.8034571156484134</v>
      </c>
      <c r="D57" s="3">
        <v>0.67901234567901236</v>
      </c>
      <c r="E57" s="3">
        <f>NORMSINV(D57)+scale!C$34</f>
        <v>5.4649387654830806</v>
      </c>
      <c r="F57" s="3"/>
      <c r="G57" s="3">
        <v>0.68097853220169746</v>
      </c>
      <c r="H57" s="3">
        <f>NORMSINV(G57)+scale!C$34</f>
        <v>5.4704368587504701</v>
      </c>
      <c r="I57" s="3">
        <v>0.68079800498753118</v>
      </c>
      <c r="J57" s="3">
        <f>NORMSINV(I57)+scale!C$34</f>
        <v>5.4699314554882257</v>
      </c>
      <c r="K57" s="3"/>
      <c r="L57" s="5">
        <v>6134.0505199293957</v>
      </c>
      <c r="M57" s="5">
        <v>6119.4205856861663</v>
      </c>
      <c r="N57" s="5">
        <v>6120.7623904307411</v>
      </c>
    </row>
    <row r="58" spans="1:14" x14ac:dyDescent="0.25">
      <c r="A58">
        <v>56</v>
      </c>
      <c r="B58" s="54">
        <v>6350</v>
      </c>
      <c r="C58" s="3">
        <v>3.8027737252919755</v>
      </c>
      <c r="D58" s="3">
        <v>0.69135802469135799</v>
      </c>
      <c r="E58" s="3">
        <f>NORMSINV(D58)+scale!C$34</f>
        <v>5.4997033822077839</v>
      </c>
      <c r="F58" s="3"/>
      <c r="G58" s="3">
        <v>0.69345981028457315</v>
      </c>
      <c r="H58" s="3">
        <f>NORMSINV(G58)+scale!C$34</f>
        <v>5.5056813263108149</v>
      </c>
      <c r="I58" s="3">
        <v>0.69326683291770574</v>
      </c>
      <c r="J58" s="3">
        <f>NORMSINV(I58)+scale!C$34</f>
        <v>5.5051317051031887</v>
      </c>
      <c r="K58" s="3"/>
      <c r="L58" s="5">
        <v>6042.7655397630224</v>
      </c>
      <c r="M58" s="5">
        <v>6027.3606455623567</v>
      </c>
      <c r="N58" s="5">
        <v>6028.773421136345</v>
      </c>
    </row>
    <row r="59" spans="1:14" x14ac:dyDescent="0.25">
      <c r="A59">
        <v>57</v>
      </c>
      <c r="B59" s="54">
        <v>6260</v>
      </c>
      <c r="C59" s="3">
        <v>3.7965743332104291</v>
      </c>
      <c r="D59" s="3">
        <v>0.70370370370370372</v>
      </c>
      <c r="E59" s="3">
        <f>NORMSINV(D59)+scale!C$34</f>
        <v>5.5350828150863221</v>
      </c>
      <c r="F59" s="3"/>
      <c r="G59" s="3">
        <v>0.70594108836744884</v>
      </c>
      <c r="H59" s="3">
        <f>NORMSINV(G59)+scale!C$34</f>
        <v>5.5415655590046464</v>
      </c>
      <c r="I59" s="3">
        <v>0.70573566084788031</v>
      </c>
      <c r="J59" s="3">
        <f>NORMSINV(I59)+scale!C$34</f>
        <v>5.5409693942557467</v>
      </c>
      <c r="K59" s="3"/>
      <c r="L59" s="5">
        <v>5948.6600947814268</v>
      </c>
      <c r="M59" s="5">
        <v>5930.0018436207492</v>
      </c>
      <c r="N59" s="5">
        <v>5931.7125252585483</v>
      </c>
    </row>
    <row r="60" spans="1:14" x14ac:dyDescent="0.25">
      <c r="A60">
        <v>58</v>
      </c>
      <c r="B60" s="54">
        <v>6170</v>
      </c>
      <c r="C60" s="3">
        <v>3.7902851640332416</v>
      </c>
      <c r="D60" s="3">
        <v>0.71604938271604934</v>
      </c>
      <c r="E60" s="3">
        <f>NORMSINV(D60)+scale!C$34</f>
        <v>5.5711451805595065</v>
      </c>
      <c r="F60" s="3"/>
      <c r="G60" s="3">
        <v>0.71842236645032453</v>
      </c>
      <c r="H60" s="3">
        <f>NORMSINV(G60)+scale!C$34</f>
        <v>5.5781612361948518</v>
      </c>
      <c r="I60" s="3">
        <v>0.71820448877805487</v>
      </c>
      <c r="J60" s="3">
        <f>NORMSINV(I60)+scale!C$34</f>
        <v>5.577515867992795</v>
      </c>
      <c r="K60" s="3"/>
      <c r="L60" s="5">
        <v>5846.432399461346</v>
      </c>
      <c r="M60" s="5">
        <v>5826.9852703860406</v>
      </c>
      <c r="N60" s="5">
        <v>5828.7681260548552</v>
      </c>
    </row>
    <row r="61" spans="1:14" x14ac:dyDescent="0.25">
      <c r="A61">
        <v>59</v>
      </c>
      <c r="B61" s="54">
        <v>5930</v>
      </c>
      <c r="C61" s="3">
        <v>3.7730546933642621</v>
      </c>
      <c r="D61" s="3">
        <v>0.72839506172839508</v>
      </c>
      <c r="E61" s="3">
        <f>NORMSINV(D61)+scale!C$34</f>
        <v>5.6079662225896394</v>
      </c>
      <c r="F61" s="3"/>
      <c r="G61" s="3">
        <v>0.73090364453320023</v>
      </c>
      <c r="H61" s="3">
        <f>NORMSINV(G61)+scale!C$34</f>
        <v>5.6155482563226196</v>
      </c>
      <c r="I61" s="3">
        <v>0.73067331670822944</v>
      </c>
      <c r="J61" s="3">
        <f>NORMSINV(I61)+scale!C$34</f>
        <v>5.6148506343673645</v>
      </c>
      <c r="K61" s="3"/>
      <c r="L61" s="5">
        <v>5745.9614865971307</v>
      </c>
      <c r="M61" s="5">
        <v>5725.7583111583554</v>
      </c>
      <c r="N61" s="5">
        <v>5727.6103187135086</v>
      </c>
    </row>
    <row r="62" spans="1:14" x14ac:dyDescent="0.25">
      <c r="A62">
        <v>60</v>
      </c>
      <c r="B62" s="54">
        <v>5870</v>
      </c>
      <c r="C62" s="3">
        <v>3.768638101247614</v>
      </c>
      <c r="D62" s="3">
        <v>0.7407407407407407</v>
      </c>
      <c r="E62" s="3">
        <f>NORMSINV(D62)+scale!C$34</f>
        <v>5.6456307492759823</v>
      </c>
      <c r="F62" s="3"/>
      <c r="G62" s="3">
        <v>0.74338492261607592</v>
      </c>
      <c r="H62" s="3">
        <f>NORMSINV(G62)+scale!C$34</f>
        <v>5.6538163138719364</v>
      </c>
      <c r="I62" s="3">
        <v>0.743142144638404</v>
      </c>
      <c r="J62" s="3">
        <f>NORMSINV(I62)+scale!C$34</f>
        <v>5.6530629279798577</v>
      </c>
      <c r="K62" s="3"/>
      <c r="L62" s="5">
        <v>5647.2171658906791</v>
      </c>
      <c r="M62" s="5">
        <v>5626.2898765877626</v>
      </c>
      <c r="N62" s="5">
        <v>5628.2080970748038</v>
      </c>
    </row>
    <row r="63" spans="1:14" x14ac:dyDescent="0.25">
      <c r="A63">
        <v>61</v>
      </c>
      <c r="B63" s="54">
        <v>5800</v>
      </c>
      <c r="C63" s="3">
        <v>3.7634279935629364</v>
      </c>
      <c r="D63" s="3">
        <v>0.75308641975308643</v>
      </c>
      <c r="E63" s="3">
        <f>NORMSINV(D63)+scale!C$34</f>
        <v>5.6842344043516881</v>
      </c>
      <c r="F63" s="3"/>
      <c r="G63" s="3">
        <v>0.75586620069895161</v>
      </c>
      <c r="H63" s="3">
        <f>NORMSINV(G63)+scale!C$34</f>
        <v>5.6930668523642423</v>
      </c>
      <c r="I63" s="3">
        <v>0.75561097256857856</v>
      </c>
      <c r="J63" s="3">
        <f>NORMSINV(I63)+scale!C$34</f>
        <v>5.6922536455738593</v>
      </c>
      <c r="K63" s="3"/>
      <c r="L63" s="5">
        <v>5550.1697658639932</v>
      </c>
      <c r="M63" s="5">
        <v>5528.549417411562</v>
      </c>
      <c r="N63" s="5">
        <v>5530.5309930884741</v>
      </c>
    </row>
    <row r="64" spans="1:14" x14ac:dyDescent="0.25">
      <c r="A64">
        <v>62</v>
      </c>
      <c r="B64" s="54">
        <v>5580</v>
      </c>
      <c r="C64" s="3">
        <v>3.7466341989375782</v>
      </c>
      <c r="D64" s="3">
        <v>0.76543209876543206</v>
      </c>
      <c r="E64" s="3">
        <f>NORMSINV(D64)+scale!C$34</f>
        <v>5.7238858748526429</v>
      </c>
      <c r="F64" s="3"/>
      <c r="G64" s="3">
        <v>0.7683474787818273</v>
      </c>
      <c r="H64" s="3">
        <f>NORMSINV(G64)+scale!C$34</f>
        <v>5.7334155097011745</v>
      </c>
      <c r="I64" s="3">
        <v>0.76807980049875313</v>
      </c>
      <c r="J64" s="3">
        <f>NORMSINV(I64)+scale!C$34</f>
        <v>5.7325377685375463</v>
      </c>
      <c r="K64" s="3"/>
      <c r="L64" s="5">
        <v>5454.7901249433007</v>
      </c>
      <c r="M64" s="5">
        <v>5432.5069150718427</v>
      </c>
      <c r="N64" s="5">
        <v>5434.549067474828</v>
      </c>
    </row>
    <row r="65" spans="1:14" x14ac:dyDescent="0.25">
      <c r="A65">
        <v>63</v>
      </c>
      <c r="B65" s="54">
        <v>5540</v>
      </c>
      <c r="C65" s="3">
        <v>3.7435097647284294</v>
      </c>
      <c r="D65" s="3">
        <v>0.77777777777777779</v>
      </c>
      <c r="E65" s="3">
        <f>NORMSINV(D65)+scale!C$34</f>
        <v>5.7647096737863874</v>
      </c>
      <c r="F65" s="3"/>
      <c r="G65" s="3">
        <v>0.78082875686470288</v>
      </c>
      <c r="H65" s="3">
        <f>NORMSINV(G65)+scale!C$34</f>
        <v>5.7749952163386054</v>
      </c>
      <c r="I65" s="3">
        <v>0.78054862842892769</v>
      </c>
      <c r="J65" s="3">
        <f>NORMSINV(I65)+scale!C$34</f>
        <v>5.7740474306729048</v>
      </c>
      <c r="K65" s="3"/>
      <c r="L65" s="5">
        <v>5361.049582696337</v>
      </c>
      <c r="M65" s="5">
        <v>5338.1328724960222</v>
      </c>
      <c r="N65" s="5">
        <v>5340.2329005480096</v>
      </c>
    </row>
    <row r="66" spans="1:14" x14ac:dyDescent="0.25">
      <c r="A66">
        <v>64</v>
      </c>
      <c r="B66" s="54">
        <v>5500</v>
      </c>
      <c r="C66" s="3">
        <v>3.7403626894942432</v>
      </c>
      <c r="D66" s="3">
        <v>0.79012345679012341</v>
      </c>
      <c r="E66" s="3">
        <f>NORMSINV(D66)+scale!C$34</f>
        <v>5.8068496910619789</v>
      </c>
      <c r="F66" s="3"/>
      <c r="G66" s="3">
        <v>0.79331003494757857</v>
      </c>
      <c r="H66" s="3">
        <f>NORMSINV(G66)+scale!C$34</f>
        <v>5.8179601713308919</v>
      </c>
      <c r="I66" s="3">
        <v>0.79301745635910226</v>
      </c>
      <c r="J66" s="3">
        <f>NORMSINV(I66)+scale!C$34</f>
        <v>5.8169358531476041</v>
      </c>
      <c r="K66" s="3"/>
      <c r="L66" s="5">
        <v>5268.9199712202089</v>
      </c>
      <c r="M66" s="5">
        <v>5245.3983050375527</v>
      </c>
      <c r="N66" s="5">
        <v>5247.5535831984644</v>
      </c>
    </row>
    <row r="67" spans="1:14" x14ac:dyDescent="0.25">
      <c r="A67">
        <v>65</v>
      </c>
      <c r="B67" s="54">
        <v>5350</v>
      </c>
      <c r="C67" s="3">
        <v>3.7283537820212285</v>
      </c>
      <c r="D67" s="3">
        <v>0.80246913580246915</v>
      </c>
      <c r="E67" s="3">
        <f>NORMSINV(D67)+scale!C$34</f>
        <v>5.850473786357469</v>
      </c>
      <c r="F67" s="3"/>
      <c r="G67" s="3">
        <v>0.80579131303045426</v>
      </c>
      <c r="H67" s="3">
        <f>NORMSINV(G67)+scale!C$34</f>
        <v>5.8624910175002896</v>
      </c>
      <c r="I67" s="3">
        <v>0.80548628428927671</v>
      </c>
      <c r="J67" s="3">
        <f>NORMSINV(I67)+scale!C$34</f>
        <v>5.8613824631879732</v>
      </c>
      <c r="K67" s="3"/>
      <c r="L67" s="5">
        <v>5171.8228465878565</v>
      </c>
      <c r="M67" s="5">
        <v>5138.994559732153</v>
      </c>
      <c r="N67" s="5">
        <v>5142.0000108860313</v>
      </c>
    </row>
    <row r="68" spans="1:14" x14ac:dyDescent="0.25">
      <c r="A68">
        <v>66</v>
      </c>
      <c r="B68" s="54">
        <v>5180</v>
      </c>
      <c r="C68" s="3">
        <v>3.7143297597452332</v>
      </c>
      <c r="D68" s="3">
        <v>0.81481481481481477</v>
      </c>
      <c r="E68" s="3">
        <f>NORMSINV(D68)+scale!C$34</f>
        <v>5.8957798188835895</v>
      </c>
      <c r="F68" s="3"/>
      <c r="G68" s="3">
        <v>0.81827259111332995</v>
      </c>
      <c r="H68" s="3">
        <f>NORMSINV(G68)+scale!C$34</f>
        <v>5.9088016835294956</v>
      </c>
      <c r="I68" s="3">
        <v>0.81795511221945127</v>
      </c>
      <c r="J68" s="3">
        <f>NORMSINV(I68)+scale!C$34</f>
        <v>5.9075996570881131</v>
      </c>
      <c r="K68" s="3"/>
      <c r="L68" s="5">
        <v>5050.8761300192218</v>
      </c>
      <c r="M68" s="5">
        <v>5017.5112923723727</v>
      </c>
      <c r="N68" s="5">
        <v>5020.5655041895543</v>
      </c>
    </row>
    <row r="69" spans="1:14" x14ac:dyDescent="0.25">
      <c r="A69">
        <v>67</v>
      </c>
      <c r="B69" s="54">
        <v>5090</v>
      </c>
      <c r="C69" s="3">
        <v>3.7067177823367587</v>
      </c>
      <c r="D69" s="3">
        <v>0.8271604938271605</v>
      </c>
      <c r="E69" s="3">
        <f>NORMSINV(D69)+scale!C$34</f>
        <v>5.9430036961801065</v>
      </c>
      <c r="F69" s="3"/>
      <c r="G69" s="3">
        <v>0.83075386919620564</v>
      </c>
      <c r="H69" s="3">
        <f>NORMSINV(G69)+scale!C$34</f>
        <v>5.9571485894374892</v>
      </c>
      <c r="I69" s="3">
        <v>0.83042394014962584</v>
      </c>
      <c r="J69" s="3">
        <f>NORMSINV(I69)+scale!C$34</f>
        <v>5.9558418926006294</v>
      </c>
      <c r="K69" s="3"/>
      <c r="L69" s="5">
        <v>4932.7578375251587</v>
      </c>
      <c r="M69" s="5">
        <v>4898.8998288405337</v>
      </c>
      <c r="N69" s="5">
        <v>4901.9988192327455</v>
      </c>
    </row>
    <row r="70" spans="1:14" x14ac:dyDescent="0.25">
      <c r="A70">
        <v>68</v>
      </c>
      <c r="B70" s="54">
        <v>5010</v>
      </c>
      <c r="C70" s="3">
        <v>3.6998377258672455</v>
      </c>
      <c r="D70" s="3">
        <v>0.83950617283950613</v>
      </c>
      <c r="E70" s="3">
        <f>NORMSINV(D70)+scale!C$34</f>
        <v>5.9924303205192091</v>
      </c>
      <c r="F70" s="3"/>
      <c r="G70" s="3">
        <v>0.84323514727908133</v>
      </c>
      <c r="H70" s="3">
        <f>NORMSINV(G70)+scale!C$34</f>
        <v>6.0078432785489966</v>
      </c>
      <c r="I70" s="3">
        <v>0.8428927680798004</v>
      </c>
      <c r="J70" s="3">
        <f>NORMSINV(I70)+scale!C$34</f>
        <v>6.0064181553204321</v>
      </c>
      <c r="K70" s="3"/>
      <c r="L70" s="5">
        <v>4817.4018244183862</v>
      </c>
      <c r="M70" s="5">
        <v>4783.092281126992</v>
      </c>
      <c r="N70" s="5">
        <v>4786.2322289604781</v>
      </c>
    </row>
    <row r="71" spans="1:14" x14ac:dyDescent="0.25">
      <c r="A71">
        <v>69</v>
      </c>
      <c r="B71" s="54">
        <v>4970</v>
      </c>
      <c r="C71" s="3">
        <v>3.6963563887333319</v>
      </c>
      <c r="D71" s="3">
        <v>0.85185185185185186</v>
      </c>
      <c r="E71" s="3">
        <f>NORMSINV(D71)+scale!C$34</f>
        <v>6.044408794872596</v>
      </c>
      <c r="F71" s="3"/>
      <c r="G71" s="3">
        <v>0.85571642536195702</v>
      </c>
      <c r="H71" s="3">
        <f>NORMSINV(G71)+scale!C$34</f>
        <v>6.0612701454127462</v>
      </c>
      <c r="I71" s="3">
        <v>0.85536159600997497</v>
      </c>
      <c r="J71" s="3">
        <f>NORMSINV(I71)+scale!C$34</f>
        <v>6.0597094374888139</v>
      </c>
      <c r="K71" s="3"/>
      <c r="L71" s="5">
        <v>4704.7434928516823</v>
      </c>
      <c r="M71" s="5">
        <v>4670.0223660607735</v>
      </c>
      <c r="N71" s="5">
        <v>4673.1996057733631</v>
      </c>
    </row>
    <row r="72" spans="1:14" x14ac:dyDescent="0.25">
      <c r="A72">
        <v>70</v>
      </c>
      <c r="B72" s="54">
        <v>4840</v>
      </c>
      <c r="C72" s="3">
        <v>3.6848453616444119</v>
      </c>
      <c r="D72" s="3">
        <v>0.86419753086419748</v>
      </c>
      <c r="E72" s="3">
        <f>NORMSINV(D72)+scale!C$34</f>
        <v>6.0993740652715553</v>
      </c>
      <c r="F72" s="3"/>
      <c r="G72" s="3">
        <v>0.86819770344483271</v>
      </c>
      <c r="H72" s="3">
        <f>NORMSINV(G72)+scale!C$34</f>
        <v>6.1179119679119003</v>
      </c>
      <c r="I72" s="3">
        <v>0.86783042394014953</v>
      </c>
      <c r="J72" s="3">
        <f>NORMSINV(I72)+scale!C$34</f>
        <v>6.1161938834342315</v>
      </c>
      <c r="K72" s="3"/>
      <c r="L72" s="5">
        <v>4594.7197556439196</v>
      </c>
      <c r="M72" s="5">
        <v>4559.6253673720094</v>
      </c>
      <c r="N72" s="5">
        <v>4562.8363837547249</v>
      </c>
    </row>
    <row r="73" spans="1:14" x14ac:dyDescent="0.25">
      <c r="A73">
        <v>71</v>
      </c>
      <c r="B73" s="54">
        <v>4760</v>
      </c>
      <c r="C73" s="3">
        <v>3.6776069527204931</v>
      </c>
      <c r="D73" s="3">
        <v>0.87654320987654322</v>
      </c>
      <c r="E73" s="3">
        <f>NORMSINV(D73)+scale!C$34</f>
        <v>6.1578786036450239</v>
      </c>
      <c r="F73" s="3"/>
      <c r="G73" s="3">
        <v>0.8806789815277084</v>
      </c>
      <c r="H73" s="3">
        <f>NORMSINV(G73)+scale!C$34</f>
        <v>6.1783878056174562</v>
      </c>
      <c r="I73" s="3">
        <v>0.8802992518703241</v>
      </c>
      <c r="J73" s="3">
        <f>NORMSINV(I73)+scale!C$34</f>
        <v>6.1764840654533506</v>
      </c>
      <c r="K73" s="3"/>
      <c r="L73" s="5">
        <v>4487.2690009521129</v>
      </c>
      <c r="M73" s="5">
        <v>4451.8380986511493</v>
      </c>
      <c r="N73" s="5">
        <v>4455.079521789542</v>
      </c>
    </row>
    <row r="74" spans="1:14" x14ac:dyDescent="0.25">
      <c r="A74">
        <v>72</v>
      </c>
      <c r="B74" s="54">
        <v>4060</v>
      </c>
      <c r="C74" s="3">
        <v>3.6085260335771938</v>
      </c>
      <c r="D74" s="3">
        <v>0.88888888888888884</v>
      </c>
      <c r="E74" s="3">
        <f>NORMSINV(D74)+scale!C$34</f>
        <v>6.2206403488473505</v>
      </c>
      <c r="F74" s="3"/>
      <c r="G74" s="3">
        <v>0.8931602596105841</v>
      </c>
      <c r="H74" s="3">
        <f>NORMSINV(G74)+scale!C$34</f>
        <v>6.2435112966004365</v>
      </c>
      <c r="I74" s="3">
        <v>0.89276807980049866</v>
      </c>
      <c r="J74" s="3">
        <f>NORMSINV(I74)+scale!C$34</f>
        <v>6.2413842343331165</v>
      </c>
      <c r="K74" s="3"/>
      <c r="L74" s="5">
        <v>4382.3310577695775</v>
      </c>
      <c r="M74" s="5">
        <v>4346.5988671838359</v>
      </c>
      <c r="N74" s="5">
        <v>4349.8674675544689</v>
      </c>
    </row>
    <row r="75" spans="1:14" x14ac:dyDescent="0.25">
      <c r="A75">
        <v>73</v>
      </c>
      <c r="B75" s="54">
        <v>4060</v>
      </c>
      <c r="C75" s="3">
        <v>3.6085260335771938</v>
      </c>
      <c r="D75" s="3">
        <v>0.90123456790123457</v>
      </c>
      <c r="E75" s="3">
        <f>NORMSINV(D75)+scale!C$34</f>
        <v>6.2886181677160637</v>
      </c>
      <c r="F75" s="3"/>
      <c r="G75" s="3">
        <v>0.90564153769345979</v>
      </c>
      <c r="H75" s="3">
        <f>NORMSINV(G75)+scale!C$34</f>
        <v>6.3143842600172109</v>
      </c>
      <c r="I75" s="3">
        <v>0.90523690773067322</v>
      </c>
      <c r="J75" s="3">
        <f>NORMSINV(I75)+scale!C$34</f>
        <v>6.3119820694211537</v>
      </c>
      <c r="K75" s="3"/>
      <c r="L75" s="5">
        <v>4273.5333629059933</v>
      </c>
      <c r="M75" s="5">
        <v>4215.3135333739201</v>
      </c>
      <c r="N75" s="5">
        <v>4220.625806483441</v>
      </c>
    </row>
    <row r="76" spans="1:14" x14ac:dyDescent="0.25">
      <c r="A76">
        <v>74</v>
      </c>
      <c r="B76" s="54">
        <v>4020</v>
      </c>
      <c r="C76" s="3">
        <v>3.6042260530844694</v>
      </c>
      <c r="D76" s="3">
        <v>0.9135802469135802</v>
      </c>
      <c r="E76" s="3">
        <f>NORMSINV(D76)+scale!C$34</f>
        <v>6.3631364655496245</v>
      </c>
      <c r="F76" s="3"/>
      <c r="G76" s="3">
        <v>0.91812281577633548</v>
      </c>
      <c r="H76" s="3">
        <f>NORMSINV(G76)+scale!C$34</f>
        <v>6.3925551005869137</v>
      </c>
      <c r="I76" s="3">
        <v>0.91770573566084779</v>
      </c>
      <c r="J76" s="3">
        <f>NORMSINV(I76)+scale!C$34</f>
        <v>6.3898035866875738</v>
      </c>
      <c r="K76" s="3"/>
      <c r="L76" s="5">
        <v>4112.4304133134265</v>
      </c>
      <c r="M76" s="5">
        <v>4054.6936542042545</v>
      </c>
      <c r="N76" s="5">
        <v>4059.9608373771662</v>
      </c>
    </row>
    <row r="77" spans="1:14" x14ac:dyDescent="0.25">
      <c r="A77">
        <v>75</v>
      </c>
      <c r="B77" s="54">
        <v>3990</v>
      </c>
      <c r="C77" s="3">
        <v>3.6009728956867479</v>
      </c>
      <c r="D77" s="3">
        <v>0.92592592592592593</v>
      </c>
      <c r="E77" s="3">
        <f>NORMSINV(D77)+scale!C$34</f>
        <v>6.4461035929181758</v>
      </c>
      <c r="F77" s="3"/>
      <c r="G77" s="3">
        <v>0.93060409385921117</v>
      </c>
      <c r="H77" s="3">
        <f>NORMSINV(G77)+scale!C$34</f>
        <v>6.4803052145046713</v>
      </c>
      <c r="I77" s="3">
        <v>0.93017456359102235</v>
      </c>
      <c r="J77" s="3">
        <f>NORMSINV(I77)+scale!C$34</f>
        <v>6.4770923913732288</v>
      </c>
      <c r="K77" s="3"/>
      <c r="L77" s="5">
        <v>3957.400695906827</v>
      </c>
      <c r="M77" s="5">
        <v>3900.1940186132069</v>
      </c>
      <c r="N77" s="5">
        <v>3905.4118409918715</v>
      </c>
    </row>
    <row r="78" spans="1:14" x14ac:dyDescent="0.25">
      <c r="A78">
        <v>76</v>
      </c>
      <c r="B78" s="54">
        <v>3900</v>
      </c>
      <c r="C78" s="3">
        <v>3.5910646070264987</v>
      </c>
      <c r="D78" s="3">
        <v>0.93827160493827155</v>
      </c>
      <c r="E78" s="3">
        <f>NORMSINV(D78)+scale!C$34</f>
        <v>6.5404250053004738</v>
      </c>
      <c r="F78" s="3"/>
      <c r="G78" s="3">
        <v>0.94308537194208686</v>
      </c>
      <c r="H78" s="3">
        <f>NORMSINV(G78)+scale!C$34</f>
        <v>6.5812133841645348</v>
      </c>
      <c r="I78" s="3">
        <v>0.94264339152119692</v>
      </c>
      <c r="J78" s="3">
        <f>NORMSINV(I78)+scale!C$34</f>
        <v>6.5773578120154816</v>
      </c>
      <c r="K78" s="3"/>
      <c r="L78" s="5">
        <v>3808.215262989856</v>
      </c>
      <c r="M78" s="5">
        <v>3751.5814214604434</v>
      </c>
      <c r="N78" s="5">
        <v>3756.7460029030335</v>
      </c>
    </row>
    <row r="79" spans="1:14" x14ac:dyDescent="0.25">
      <c r="A79">
        <v>77</v>
      </c>
      <c r="B79" s="54">
        <v>3510</v>
      </c>
      <c r="C79" s="3">
        <v>3.5453071164658239</v>
      </c>
      <c r="D79" s="3">
        <v>0.95061728395061729</v>
      </c>
      <c r="E79" s="3">
        <f>NORMSINV(D79)+scale!C$34</f>
        <v>6.6508684854737368</v>
      </c>
      <c r="F79" s="3"/>
      <c r="G79" s="3">
        <v>0.95556665002496255</v>
      </c>
      <c r="H79" s="3">
        <f>NORMSINV(G79)+scale!C$34</f>
        <v>6.7014064021344186</v>
      </c>
      <c r="I79" s="3">
        <v>0.95511221945137148</v>
      </c>
      <c r="J79" s="3">
        <f>NORMSINV(I79)+scale!C$34</f>
        <v>6.6965828147896866</v>
      </c>
      <c r="K79" s="3"/>
      <c r="L79" s="5">
        <v>3661.541802032023</v>
      </c>
      <c r="M79" s="5">
        <v>3581.0905621609941</v>
      </c>
      <c r="N79" s="5">
        <v>3588.4029708491721</v>
      </c>
    </row>
    <row r="80" spans="1:14" x14ac:dyDescent="0.25">
      <c r="A80">
        <v>78</v>
      </c>
      <c r="B80" s="54">
        <v>3480</v>
      </c>
      <c r="C80" s="3">
        <v>3.5415792439465803</v>
      </c>
      <c r="D80" s="3">
        <v>0.96296296296296291</v>
      </c>
      <c r="E80" s="3">
        <f>NORMSINV(D80)+scale!C$34</f>
        <v>6.7861555612610767</v>
      </c>
      <c r="F80" s="3"/>
      <c r="G80" s="3">
        <v>0.96804792810783824</v>
      </c>
      <c r="H80" s="3">
        <f>NORMSINV(G80)+scale!C$34</f>
        <v>6.8528480300704491</v>
      </c>
      <c r="I80" s="3">
        <v>0.96758104738154604</v>
      </c>
      <c r="J80" s="3">
        <f>NORMSINV(I80)+scale!C$34</f>
        <v>6.846374099746793</v>
      </c>
      <c r="K80" s="3"/>
      <c r="L80" s="5">
        <v>3449.9200972957515</v>
      </c>
      <c r="M80" s="5">
        <v>3348.3332534512092</v>
      </c>
      <c r="N80" s="5">
        <v>3357.5344673318909</v>
      </c>
    </row>
    <row r="81" spans="1:14" x14ac:dyDescent="0.25">
      <c r="A81">
        <v>79</v>
      </c>
      <c r="B81" s="54">
        <v>3000</v>
      </c>
      <c r="C81" s="3">
        <v>3.4771212547196617</v>
      </c>
      <c r="D81" s="3">
        <v>0.97530864197530864</v>
      </c>
      <c r="E81" s="3">
        <f>NORMSINV(D81)+scale!C$34</f>
        <v>6.965272418971777</v>
      </c>
      <c r="F81" s="3"/>
      <c r="G81" s="3">
        <v>0.98052920619071393</v>
      </c>
      <c r="H81" s="3">
        <f>NORMSINV(G81)+scale!C$34</f>
        <v>7.0648035945941086</v>
      </c>
      <c r="I81" s="3">
        <v>0.98004987531172061</v>
      </c>
      <c r="J81" s="3">
        <f>NORMSINV(I81)+scale!C$34</f>
        <v>7.0547800976290986</v>
      </c>
      <c r="K81" s="3"/>
      <c r="L81" s="5">
        <v>3206.4896878664108</v>
      </c>
      <c r="M81" s="5">
        <v>3072.082068710562</v>
      </c>
      <c r="N81" s="5">
        <v>3088.7975292319852</v>
      </c>
    </row>
    <row r="82" spans="1:14" x14ac:dyDescent="0.25">
      <c r="A82">
        <v>80</v>
      </c>
      <c r="B82" s="54">
        <v>2380</v>
      </c>
      <c r="C82" s="3">
        <v>3.3765769570565114</v>
      </c>
      <c r="D82" s="3">
        <v>0.98765432098765427</v>
      </c>
      <c r="E82" s="3">
        <f>NORMSINV(D82)+scale!C$34</f>
        <v>7.2461975356408157</v>
      </c>
      <c r="F82" s="3"/>
      <c r="G82" s="3">
        <v>0.99301048427358962</v>
      </c>
      <c r="H82" s="3">
        <f>NORMSINV(G82)+scale!C$34</f>
        <v>7.4578017612701544</v>
      </c>
      <c r="I82" s="3">
        <v>0.99251870324189517</v>
      </c>
      <c r="J82" s="3">
        <f>NORMSINV(I82)+scale!C$34</f>
        <v>7.4332831847109384</v>
      </c>
      <c r="K82" s="3"/>
      <c r="L82" s="5">
        <v>2834.0155125497286</v>
      </c>
      <c r="M82" s="5">
        <v>2594.6737225785214</v>
      </c>
      <c r="N82" s="5">
        <v>2620.9489737032422</v>
      </c>
    </row>
    <row r="83" spans="1:14" x14ac:dyDescent="0.25">
      <c r="C83" s="3"/>
      <c r="D83" s="3"/>
      <c r="E83" s="3"/>
      <c r="F83" s="3"/>
      <c r="G83" s="3"/>
      <c r="H83" s="3"/>
      <c r="I83" s="3"/>
      <c r="J83" s="3"/>
      <c r="K83" s="3"/>
      <c r="L83" s="5"/>
      <c r="M83" s="5"/>
      <c r="N83" s="5"/>
    </row>
    <row r="84" spans="1:14" x14ac:dyDescent="0.25">
      <c r="C84" s="3"/>
      <c r="D84" s="3"/>
      <c r="E84" s="3"/>
      <c r="F84" s="3"/>
      <c r="G84" s="3"/>
      <c r="H84" s="3"/>
      <c r="I84" s="3"/>
      <c r="J84" s="3"/>
      <c r="K84" s="3"/>
      <c r="L84" s="5"/>
      <c r="M84" s="5"/>
      <c r="N84" s="5"/>
    </row>
    <row r="85" spans="1:14" x14ac:dyDescent="0.25">
      <c r="C85" s="3"/>
      <c r="D85" s="3"/>
      <c r="E85" s="3"/>
      <c r="F85" s="3"/>
      <c r="G85" s="3"/>
      <c r="H85" s="3"/>
      <c r="I85" s="3"/>
      <c r="J85" s="3"/>
      <c r="K85" s="3"/>
      <c r="L85" s="5"/>
      <c r="M85" s="5"/>
      <c r="N85" s="5"/>
    </row>
    <row r="86" spans="1:14" x14ac:dyDescent="0.25">
      <c r="C86" s="3"/>
      <c r="D86" s="3"/>
      <c r="E86" s="3"/>
      <c r="F86" s="3"/>
      <c r="G86" s="3"/>
      <c r="H86" s="3"/>
      <c r="I86" s="3"/>
      <c r="J86" s="3"/>
      <c r="K86" s="3"/>
      <c r="L86" s="5"/>
      <c r="M86" s="5"/>
      <c r="N86" s="5"/>
    </row>
    <row r="87" spans="1:14" x14ac:dyDescent="0.25">
      <c r="C87" s="3"/>
      <c r="D87" s="3"/>
      <c r="E87" s="3"/>
      <c r="F87" s="3"/>
      <c r="G87" s="3"/>
      <c r="H87" s="3"/>
      <c r="I87" s="3"/>
      <c r="J87" s="3"/>
      <c r="K87" s="3"/>
      <c r="L87" s="5"/>
      <c r="M87" s="5"/>
      <c r="N87" s="5"/>
    </row>
    <row r="88" spans="1:14" x14ac:dyDescent="0.25">
      <c r="C88" s="3"/>
      <c r="D88" s="3"/>
      <c r="E88" s="3"/>
      <c r="F88" s="3"/>
      <c r="G88" s="3"/>
      <c r="H88" s="3"/>
      <c r="I88" s="3"/>
      <c r="J88" s="3"/>
      <c r="K88" s="3"/>
      <c r="L88" s="5"/>
      <c r="M88" s="5"/>
      <c r="N88" s="5"/>
    </row>
    <row r="89" spans="1:14" x14ac:dyDescent="0.25">
      <c r="C89" s="3"/>
      <c r="D89" s="3"/>
      <c r="E89" s="3"/>
      <c r="F89" s="3"/>
      <c r="G89" s="3"/>
      <c r="H89" s="3"/>
      <c r="I89" s="3"/>
      <c r="J89" s="3"/>
      <c r="K89" s="3"/>
      <c r="L89" s="5"/>
      <c r="M89" s="5"/>
      <c r="N89" s="5"/>
    </row>
    <row r="90" spans="1:14" x14ac:dyDescent="0.25">
      <c r="C90" s="3"/>
      <c r="D90" s="3"/>
      <c r="E90" s="3"/>
      <c r="F90" s="3"/>
      <c r="G90" s="3"/>
      <c r="H90" s="3"/>
      <c r="I90" s="3"/>
      <c r="J90" s="3"/>
      <c r="K90" s="3"/>
      <c r="L90" s="5"/>
      <c r="M90" s="5"/>
      <c r="N90" s="5"/>
    </row>
    <row r="91" spans="1:14" x14ac:dyDescent="0.25">
      <c r="C91" s="3"/>
      <c r="D91" s="3"/>
      <c r="E91" s="3"/>
      <c r="F91" s="3"/>
      <c r="G91" s="3"/>
      <c r="H91" s="3"/>
      <c r="I91" s="3"/>
      <c r="J91" s="3"/>
      <c r="K91" s="3"/>
      <c r="L91" s="5"/>
      <c r="M91" s="5"/>
      <c r="N91" s="5"/>
    </row>
    <row r="92" spans="1:14" x14ac:dyDescent="0.25">
      <c r="C92" s="3"/>
      <c r="D92" s="3"/>
      <c r="E92" s="3"/>
      <c r="F92" s="3"/>
      <c r="G92" s="3"/>
      <c r="H92" s="3"/>
      <c r="I92" s="3"/>
      <c r="J92" s="3"/>
      <c r="K92" s="3"/>
      <c r="L92" s="5"/>
      <c r="M92" s="5"/>
      <c r="N92" s="5"/>
    </row>
    <row r="93" spans="1:14" x14ac:dyDescent="0.25">
      <c r="C93" s="3"/>
      <c r="D93" s="3"/>
      <c r="E93" s="3"/>
      <c r="F93" s="3"/>
      <c r="G93" s="3"/>
      <c r="H93" s="3"/>
      <c r="I93" s="3"/>
      <c r="J93" s="3"/>
      <c r="K93" s="3"/>
      <c r="L93" s="5"/>
      <c r="M93" s="5"/>
      <c r="N93" s="5"/>
    </row>
    <row r="94" spans="1:14" x14ac:dyDescent="0.25">
      <c r="C94" s="3"/>
      <c r="D94" s="3"/>
      <c r="E94" s="3"/>
      <c r="F94" s="3"/>
      <c r="G94" s="3"/>
      <c r="H94" s="3"/>
      <c r="I94" s="3"/>
      <c r="J94" s="3"/>
      <c r="K94" s="3"/>
      <c r="L94" s="5"/>
      <c r="M94" s="5"/>
      <c r="N94" s="5"/>
    </row>
    <row r="95" spans="1:14" x14ac:dyDescent="0.25">
      <c r="C95" s="3"/>
      <c r="D95" s="3"/>
      <c r="E95" s="3"/>
      <c r="F95" s="3"/>
      <c r="G95" s="3"/>
      <c r="H95" s="3"/>
      <c r="I95" s="3"/>
      <c r="J95" s="3"/>
      <c r="K95" s="3"/>
      <c r="L95" s="5"/>
      <c r="M95" s="5"/>
      <c r="N95" s="5"/>
    </row>
    <row r="96" spans="1:14" x14ac:dyDescent="0.25">
      <c r="C96" s="3"/>
      <c r="D96" s="3"/>
      <c r="E96" s="3"/>
      <c r="F96" s="3"/>
      <c r="G96" s="3"/>
      <c r="H96" s="3"/>
      <c r="I96" s="3"/>
      <c r="J96" s="3"/>
      <c r="K96" s="3"/>
      <c r="L96" s="5"/>
      <c r="M96" s="5"/>
      <c r="N96" s="5"/>
    </row>
    <row r="97" spans="3:14" x14ac:dyDescent="0.25">
      <c r="C97" s="3"/>
      <c r="D97" s="3"/>
      <c r="E97" s="3"/>
      <c r="F97" s="3"/>
      <c r="G97" s="3"/>
      <c r="H97" s="3"/>
      <c r="I97" s="3"/>
      <c r="J97" s="3"/>
      <c r="K97" s="3"/>
      <c r="L97" s="5"/>
      <c r="M97" s="5"/>
      <c r="N97" s="5"/>
    </row>
    <row r="98" spans="3:14" x14ac:dyDescent="0.25">
      <c r="C98" s="3"/>
      <c r="D98" s="3"/>
      <c r="E98" s="3"/>
      <c r="F98" s="3"/>
      <c r="G98" s="3"/>
      <c r="H98" s="3"/>
      <c r="I98" s="3"/>
      <c r="J98" s="3"/>
      <c r="K98" s="3"/>
      <c r="L98" s="5"/>
      <c r="M98" s="5"/>
      <c r="N98" s="5"/>
    </row>
    <row r="99" spans="3:14" x14ac:dyDescent="0.25">
      <c r="C99" s="3"/>
      <c r="D99" s="3"/>
      <c r="E99" s="3"/>
      <c r="F99" s="3"/>
      <c r="G99" s="3"/>
      <c r="H99" s="3"/>
      <c r="I99" s="3"/>
      <c r="J99" s="3"/>
      <c r="K99" s="3"/>
      <c r="L99" s="5"/>
      <c r="M99" s="5"/>
      <c r="N99" s="5"/>
    </row>
    <row r="100" spans="3:14" x14ac:dyDescent="0.25">
      <c r="C100" s="3"/>
      <c r="D100" s="3"/>
      <c r="E100" s="3"/>
      <c r="F100" s="3"/>
      <c r="G100" s="3"/>
      <c r="H100" s="3"/>
      <c r="I100" s="3"/>
      <c r="J100" s="3"/>
      <c r="K100" s="3"/>
      <c r="L100" s="5"/>
      <c r="M100" s="5"/>
      <c r="N100" s="5"/>
    </row>
    <row r="101" spans="3:14" x14ac:dyDescent="0.25">
      <c r="C101" s="3"/>
      <c r="D101" s="3"/>
      <c r="E101" s="3"/>
      <c r="F101" s="3"/>
      <c r="G101" s="3"/>
      <c r="H101" s="3"/>
      <c r="I101" s="3"/>
      <c r="J101" s="3"/>
      <c r="K101" s="3"/>
      <c r="L101" s="5"/>
      <c r="M101" s="5"/>
      <c r="N101" s="5"/>
    </row>
    <row r="102" spans="3:14" x14ac:dyDescent="0.25">
      <c r="C102" s="3"/>
      <c r="D102" s="3"/>
      <c r="E102" s="3"/>
      <c r="F102" s="3"/>
      <c r="G102" s="3"/>
      <c r="H102" s="3"/>
      <c r="I102" s="3"/>
      <c r="J102" s="3"/>
      <c r="K102" s="3"/>
      <c r="L102" s="5"/>
      <c r="M102" s="5"/>
      <c r="N102" s="5"/>
    </row>
    <row r="103" spans="3:14" x14ac:dyDescent="0.25">
      <c r="C103" s="3"/>
      <c r="D103" s="3"/>
      <c r="E103" s="3"/>
      <c r="F103" s="3"/>
      <c r="G103" s="3"/>
      <c r="H103" s="3"/>
      <c r="I103" s="3"/>
      <c r="J103" s="3"/>
      <c r="K103" s="3"/>
      <c r="L103" s="5"/>
      <c r="M103" s="5"/>
      <c r="N103" s="5"/>
    </row>
    <row r="104" spans="3:14" x14ac:dyDescent="0.25">
      <c r="C104" s="3"/>
      <c r="D104" s="3"/>
      <c r="E104" s="3"/>
      <c r="F104" s="3"/>
      <c r="G104" s="3"/>
      <c r="H104" s="3"/>
      <c r="I104" s="3"/>
      <c r="J104" s="3"/>
      <c r="K104" s="3"/>
      <c r="L104" s="5"/>
      <c r="M104" s="5"/>
      <c r="N104" s="5"/>
    </row>
    <row r="105" spans="3:14" x14ac:dyDescent="0.25">
      <c r="C105" s="3"/>
      <c r="D105" s="3"/>
      <c r="E105" s="3"/>
      <c r="F105" s="3"/>
      <c r="G105" s="3"/>
      <c r="H105" s="3"/>
      <c r="I105" s="3"/>
      <c r="J105" s="3"/>
      <c r="K105" s="3"/>
      <c r="L105" s="5"/>
      <c r="M105" s="5"/>
      <c r="N105" s="5"/>
    </row>
    <row r="106" spans="3:14" x14ac:dyDescent="0.25">
      <c r="C106" s="3"/>
      <c r="D106" s="3"/>
      <c r="E106" s="3"/>
      <c r="F106" s="3"/>
      <c r="G106" s="3"/>
      <c r="H106" s="3"/>
      <c r="I106" s="3"/>
      <c r="J106" s="3"/>
      <c r="K106" s="3"/>
      <c r="L106" s="5"/>
      <c r="M106" s="5"/>
      <c r="N106" s="5"/>
    </row>
    <row r="107" spans="3:14" x14ac:dyDescent="0.25">
      <c r="C107" s="3"/>
      <c r="D107" s="3"/>
      <c r="E107" s="3"/>
      <c r="F107" s="3"/>
      <c r="G107" s="3"/>
      <c r="H107" s="3"/>
      <c r="I107" s="3"/>
      <c r="J107" s="3"/>
      <c r="K107" s="3"/>
      <c r="L107" s="5"/>
      <c r="M107" s="5"/>
      <c r="N107" s="5"/>
    </row>
    <row r="108" spans="3:14" x14ac:dyDescent="0.25">
      <c r="C108" s="3"/>
      <c r="D108" s="3"/>
      <c r="E108" s="3"/>
      <c r="F108" s="3"/>
      <c r="G108" s="3"/>
      <c r="H108" s="3"/>
      <c r="I108" s="3"/>
      <c r="J108" s="3"/>
      <c r="K108" s="3"/>
      <c r="L108" s="5"/>
      <c r="M108" s="5"/>
      <c r="N108" s="5"/>
    </row>
    <row r="109" spans="3:14" x14ac:dyDescent="0.25">
      <c r="C109" s="3"/>
      <c r="D109" s="3"/>
      <c r="E109" s="3"/>
      <c r="F109" s="3"/>
      <c r="G109" s="3"/>
      <c r="H109" s="3"/>
      <c r="I109" s="3"/>
      <c r="J109" s="3"/>
      <c r="K109" s="3"/>
      <c r="L109" s="5"/>
      <c r="M109" s="5"/>
      <c r="N109" s="5"/>
    </row>
    <row r="110" spans="3:14" x14ac:dyDescent="0.25">
      <c r="C110" s="3"/>
      <c r="D110" s="3"/>
      <c r="E110" s="3"/>
      <c r="F110" s="3"/>
      <c r="G110" s="3"/>
      <c r="H110" s="3"/>
      <c r="I110" s="3"/>
      <c r="J110" s="3"/>
      <c r="K110" s="3"/>
      <c r="L110" s="5"/>
      <c r="M110" s="5"/>
      <c r="N110" s="5"/>
    </row>
    <row r="111" spans="3:14" x14ac:dyDescent="0.25">
      <c r="C111" s="3"/>
      <c r="D111" s="3"/>
      <c r="E111" s="3"/>
      <c r="F111" s="3"/>
      <c r="G111" s="3"/>
      <c r="H111" s="3"/>
      <c r="I111" s="3"/>
      <c r="J111" s="3"/>
      <c r="K111" s="3"/>
      <c r="L111" s="5"/>
      <c r="M111" s="5"/>
      <c r="N111" s="5"/>
    </row>
    <row r="112" spans="3:14" x14ac:dyDescent="0.25">
      <c r="C112" s="3"/>
      <c r="D112" s="3"/>
      <c r="E112" s="3"/>
      <c r="F112" s="3"/>
      <c r="G112" s="3"/>
      <c r="H112" s="3"/>
      <c r="I112" s="3"/>
      <c r="J112" s="3"/>
      <c r="K112" s="3"/>
      <c r="L112" s="5"/>
      <c r="M112" s="5"/>
      <c r="N112" s="5"/>
    </row>
    <row r="113" spans="3:14" x14ac:dyDescent="0.25">
      <c r="C113" s="3"/>
      <c r="D113" s="3"/>
      <c r="E113" s="3"/>
      <c r="F113" s="3"/>
      <c r="G113" s="3"/>
      <c r="H113" s="3"/>
      <c r="I113" s="3"/>
      <c r="J113" s="3"/>
      <c r="K113" s="3"/>
      <c r="L113" s="5"/>
      <c r="M113" s="5"/>
      <c r="N113" s="5"/>
    </row>
    <row r="114" spans="3:14" x14ac:dyDescent="0.25">
      <c r="C114" s="3"/>
      <c r="D114" s="3"/>
      <c r="E114" s="3"/>
      <c r="F114" s="3"/>
      <c r="G114" s="3"/>
      <c r="H114" s="3"/>
      <c r="I114" s="3"/>
      <c r="J114" s="3"/>
      <c r="K114" s="3"/>
      <c r="L114" s="5"/>
      <c r="M114" s="5"/>
      <c r="N114" s="5"/>
    </row>
    <row r="115" spans="3:14" x14ac:dyDescent="0.25">
      <c r="C115" s="3"/>
      <c r="D115" s="3"/>
      <c r="E115" s="3"/>
      <c r="F115" s="3"/>
      <c r="G115" s="3"/>
      <c r="H115" s="3"/>
      <c r="I115" s="3"/>
      <c r="J115" s="3"/>
      <c r="K115" s="3"/>
      <c r="L115" s="5"/>
      <c r="M115" s="5"/>
      <c r="N115" s="5"/>
    </row>
    <row r="116" spans="3:14" x14ac:dyDescent="0.25">
      <c r="C116" s="3"/>
      <c r="D116" s="3"/>
      <c r="E116" s="3"/>
      <c r="F116" s="3"/>
      <c r="G116" s="3"/>
      <c r="H116" s="3"/>
      <c r="I116" s="3"/>
      <c r="J116" s="3"/>
      <c r="K116" s="3"/>
      <c r="L116" s="5"/>
      <c r="M116" s="5"/>
      <c r="N116" s="5"/>
    </row>
    <row r="117" spans="3:14" x14ac:dyDescent="0.25">
      <c r="C117" s="3"/>
      <c r="D117" s="3"/>
      <c r="E117" s="3"/>
      <c r="F117" s="3"/>
      <c r="G117" s="3"/>
      <c r="H117" s="3"/>
      <c r="I117" s="3"/>
      <c r="J117" s="3"/>
      <c r="K117" s="3"/>
      <c r="L117" s="5"/>
      <c r="M117" s="5"/>
      <c r="N117" s="5"/>
    </row>
    <row r="118" spans="3:14" x14ac:dyDescent="0.25">
      <c r="C118" s="3"/>
      <c r="D118" s="3"/>
      <c r="E118" s="3"/>
      <c r="F118" s="3"/>
      <c r="G118" s="3"/>
      <c r="H118" s="3"/>
      <c r="I118" s="3"/>
      <c r="J118" s="3"/>
      <c r="K118" s="3"/>
      <c r="L118" s="5"/>
      <c r="M118" s="5"/>
      <c r="N118" s="5"/>
    </row>
    <row r="119" spans="3:14" x14ac:dyDescent="0.25">
      <c r="C119" s="3"/>
      <c r="D119" s="3"/>
      <c r="E119" s="3"/>
      <c r="F119" s="3"/>
      <c r="G119" s="3"/>
      <c r="H119" s="3"/>
      <c r="I119" s="3"/>
      <c r="J119" s="3"/>
      <c r="K119" s="3"/>
      <c r="L119" s="5"/>
      <c r="M119" s="5"/>
      <c r="N119" s="5"/>
    </row>
    <row r="120" spans="3:14" x14ac:dyDescent="0.25">
      <c r="C120" s="3"/>
      <c r="D120" s="3"/>
      <c r="E120" s="3"/>
      <c r="F120" s="3"/>
      <c r="G120" s="3"/>
      <c r="H120" s="3"/>
      <c r="I120" s="3"/>
      <c r="J120" s="3"/>
      <c r="K120" s="3"/>
      <c r="L120" s="5"/>
      <c r="M120" s="5"/>
      <c r="N120" s="5"/>
    </row>
    <row r="121" spans="3:14" x14ac:dyDescent="0.25">
      <c r="C121" s="3"/>
      <c r="D121" s="3"/>
      <c r="E121" s="3"/>
      <c r="F121" s="3"/>
      <c r="G121" s="3"/>
      <c r="H121" s="3"/>
      <c r="I121" s="3"/>
      <c r="J121" s="3"/>
      <c r="K121" s="3"/>
      <c r="L121" s="5"/>
      <c r="M121" s="5"/>
      <c r="N121" s="5"/>
    </row>
    <row r="122" spans="3:14" x14ac:dyDescent="0.25">
      <c r="C122" s="3"/>
      <c r="D122" s="3"/>
      <c r="E122" s="3"/>
      <c r="F122" s="3"/>
      <c r="G122" s="3"/>
      <c r="H122" s="3"/>
      <c r="I122" s="3"/>
      <c r="J122" s="3"/>
      <c r="K122" s="3"/>
      <c r="L122" s="5"/>
      <c r="M122" s="5"/>
      <c r="N122" s="5"/>
    </row>
    <row r="123" spans="3:14" x14ac:dyDescent="0.25">
      <c r="C123" s="3"/>
      <c r="D123" s="3"/>
      <c r="E123" s="3"/>
      <c r="F123" s="3"/>
      <c r="G123" s="3"/>
      <c r="H123" s="3"/>
      <c r="I123" s="3"/>
      <c r="J123" s="3"/>
      <c r="K123" s="3"/>
      <c r="L123" s="5"/>
      <c r="M123" s="5"/>
      <c r="N123" s="5"/>
    </row>
    <row r="124" spans="3:14" x14ac:dyDescent="0.25">
      <c r="C124" s="3"/>
      <c r="D124" s="3"/>
      <c r="E124" s="3"/>
      <c r="F124" s="3"/>
      <c r="G124" s="3"/>
      <c r="H124" s="3"/>
      <c r="I124" s="3"/>
      <c r="J124" s="3"/>
      <c r="K124" s="3"/>
      <c r="L124" s="5"/>
      <c r="M124" s="5"/>
      <c r="N124" s="5"/>
    </row>
    <row r="125" spans="3:14" x14ac:dyDescent="0.25">
      <c r="C125" s="3"/>
      <c r="D125" s="3"/>
      <c r="E125" s="3"/>
      <c r="F125" s="3"/>
      <c r="G125" s="3"/>
      <c r="H125" s="3"/>
      <c r="I125" s="3"/>
      <c r="J125" s="3"/>
      <c r="K125" s="3"/>
      <c r="L125" s="5"/>
      <c r="M125" s="5"/>
      <c r="N125" s="5"/>
    </row>
    <row r="126" spans="3:14" x14ac:dyDescent="0.25">
      <c r="C126" s="3"/>
      <c r="D126" s="3"/>
      <c r="E126" s="3"/>
      <c r="F126" s="3"/>
      <c r="G126" s="3"/>
      <c r="H126" s="3"/>
      <c r="I126" s="3"/>
      <c r="J126" s="3"/>
      <c r="K126" s="3"/>
      <c r="L126" s="5"/>
      <c r="M126" s="5"/>
      <c r="N126" s="5"/>
    </row>
    <row r="127" spans="3:14" x14ac:dyDescent="0.25">
      <c r="C127" s="3"/>
      <c r="D127" s="3"/>
      <c r="E127" s="3"/>
      <c r="F127" s="3"/>
      <c r="G127" s="3"/>
      <c r="H127" s="3"/>
      <c r="I127" s="3"/>
      <c r="J127" s="3"/>
      <c r="K127" s="3"/>
      <c r="L127" s="5"/>
      <c r="M127" s="5"/>
      <c r="N127" s="5"/>
    </row>
    <row r="128" spans="3:14" x14ac:dyDescent="0.25">
      <c r="C128" s="3"/>
      <c r="D128" s="3"/>
      <c r="E128" s="3"/>
      <c r="F128" s="3"/>
      <c r="G128" s="3"/>
      <c r="H128" s="3"/>
      <c r="I128" s="3"/>
      <c r="J128" s="3"/>
      <c r="K128" s="3"/>
      <c r="L128" s="5"/>
      <c r="M128" s="5"/>
      <c r="N128" s="5"/>
    </row>
    <row r="129" spans="3:14" x14ac:dyDescent="0.25">
      <c r="C129" s="3"/>
      <c r="D129" s="3"/>
      <c r="E129" s="3"/>
      <c r="F129" s="3"/>
      <c r="G129" s="3"/>
      <c r="H129" s="3"/>
      <c r="I129" s="3"/>
      <c r="J129" s="3"/>
      <c r="K129" s="3"/>
      <c r="L129" s="5"/>
      <c r="M129" s="5"/>
      <c r="N129" s="5"/>
    </row>
    <row r="130" spans="3:14" x14ac:dyDescent="0.25">
      <c r="C130" s="3"/>
      <c r="D130" s="3"/>
      <c r="E130" s="3"/>
      <c r="F130" s="3"/>
      <c r="G130" s="3"/>
      <c r="H130" s="3"/>
      <c r="I130" s="3"/>
      <c r="J130" s="3"/>
      <c r="K130" s="3"/>
      <c r="L130" s="5"/>
      <c r="M130" s="5"/>
      <c r="N130" s="5"/>
    </row>
    <row r="131" spans="3:14" x14ac:dyDescent="0.25">
      <c r="C131" s="3"/>
      <c r="D131" s="3"/>
      <c r="E131" s="3"/>
      <c r="F131" s="3"/>
      <c r="G131" s="3"/>
      <c r="H131" s="3"/>
      <c r="I131" s="3"/>
      <c r="J131" s="3"/>
      <c r="K131" s="3"/>
      <c r="L131" s="5"/>
      <c r="M131" s="5"/>
      <c r="N131" s="5"/>
    </row>
    <row r="132" spans="3:14" x14ac:dyDescent="0.25">
      <c r="C132" s="3"/>
      <c r="D132" s="3"/>
      <c r="E132" s="3"/>
      <c r="F132" s="3"/>
      <c r="G132" s="3"/>
      <c r="H132" s="3"/>
      <c r="I132" s="3"/>
      <c r="J132" s="3"/>
      <c r="K132" s="3"/>
      <c r="L132" s="5"/>
      <c r="M132" s="5"/>
      <c r="N132" s="5"/>
    </row>
    <row r="133" spans="3:14" x14ac:dyDescent="0.25">
      <c r="C133" s="3"/>
      <c r="D133" s="3"/>
      <c r="E133" s="3"/>
      <c r="F133" s="3"/>
      <c r="G133" s="3"/>
      <c r="H133" s="3"/>
      <c r="I133" s="3"/>
      <c r="J133" s="3"/>
      <c r="K133" s="3"/>
      <c r="L133" s="5"/>
      <c r="M133" s="5"/>
      <c r="N133" s="5"/>
    </row>
    <row r="134" spans="3:14" x14ac:dyDescent="0.25">
      <c r="C134" s="3"/>
      <c r="D134" s="3"/>
      <c r="E134" s="3"/>
      <c r="F134" s="3"/>
      <c r="G134" s="3"/>
      <c r="H134" s="3"/>
      <c r="I134" s="3"/>
      <c r="J134" s="3"/>
      <c r="K134" s="3"/>
      <c r="L134" s="5"/>
      <c r="M134" s="5"/>
      <c r="N134" s="5"/>
    </row>
    <row r="135" spans="3:14" x14ac:dyDescent="0.25">
      <c r="C135" s="3"/>
      <c r="D135" s="3"/>
      <c r="E135" s="3"/>
      <c r="F135" s="3"/>
      <c r="G135" s="3"/>
      <c r="H135" s="3"/>
      <c r="I135" s="3"/>
      <c r="J135" s="3"/>
      <c r="K135" s="3"/>
      <c r="L135" s="5"/>
      <c r="M135" s="5"/>
      <c r="N135" s="5"/>
    </row>
    <row r="136" spans="3:14" x14ac:dyDescent="0.25">
      <c r="C136" s="3"/>
      <c r="D136" s="3"/>
      <c r="E136" s="3"/>
      <c r="F136" s="3"/>
      <c r="G136" s="3"/>
      <c r="H136" s="3"/>
      <c r="I136" s="3"/>
      <c r="J136" s="3"/>
      <c r="K136" s="3"/>
      <c r="L136" s="5"/>
      <c r="M136" s="5"/>
      <c r="N136" s="5"/>
    </row>
    <row r="137" spans="3:14" x14ac:dyDescent="0.25">
      <c r="C137" s="3"/>
      <c r="D137" s="3"/>
      <c r="E137" s="3"/>
      <c r="F137" s="3"/>
      <c r="G137" s="3"/>
      <c r="H137" s="3"/>
      <c r="I137" s="3"/>
      <c r="J137" s="3"/>
      <c r="K137" s="3"/>
      <c r="L137" s="5"/>
      <c r="M137" s="5"/>
      <c r="N137" s="5"/>
    </row>
    <row r="138" spans="3:14" x14ac:dyDescent="0.25">
      <c r="C138" s="3"/>
      <c r="D138" s="3"/>
      <c r="E138" s="3"/>
      <c r="F138" s="3"/>
      <c r="G138" s="3"/>
      <c r="H138" s="3"/>
      <c r="I138" s="3"/>
      <c r="J138" s="3"/>
      <c r="K138" s="3"/>
      <c r="L138" s="5"/>
      <c r="M138" s="5"/>
      <c r="N138" s="5"/>
    </row>
    <row r="139" spans="3:14" x14ac:dyDescent="0.25">
      <c r="C139" s="3"/>
      <c r="D139" s="3"/>
      <c r="E139" s="3"/>
      <c r="F139" s="3"/>
      <c r="G139" s="3"/>
      <c r="H139" s="3"/>
      <c r="I139" s="3"/>
      <c r="J139" s="3"/>
      <c r="K139" s="3"/>
      <c r="L139" s="5"/>
      <c r="M139" s="5"/>
      <c r="N139" s="5"/>
    </row>
    <row r="140" spans="3:14" x14ac:dyDescent="0.25">
      <c r="C140" s="3"/>
      <c r="D140" s="3"/>
      <c r="E140" s="3"/>
      <c r="F140" s="3"/>
      <c r="G140" s="3"/>
      <c r="H140" s="3"/>
      <c r="I140" s="3"/>
      <c r="J140" s="3"/>
      <c r="K140" s="3"/>
      <c r="L140" s="5"/>
      <c r="M140" s="5"/>
      <c r="N140" s="5"/>
    </row>
    <row r="141" spans="3:14" x14ac:dyDescent="0.25">
      <c r="C141" s="3"/>
      <c r="D141" s="3"/>
      <c r="E141" s="3"/>
      <c r="F141" s="3"/>
      <c r="G141" s="3"/>
      <c r="H141" s="3"/>
      <c r="I141" s="3"/>
      <c r="J141" s="3"/>
      <c r="K141" s="3"/>
      <c r="L141" s="5"/>
      <c r="M141" s="5"/>
      <c r="N141" s="5"/>
    </row>
    <row r="142" spans="3:14" x14ac:dyDescent="0.25">
      <c r="C142" s="3"/>
      <c r="D142" s="3"/>
      <c r="E142" s="3"/>
      <c r="F142" s="3"/>
      <c r="G142" s="3"/>
      <c r="H142" s="3"/>
      <c r="I142" s="3"/>
      <c r="J142" s="3"/>
      <c r="K142" s="3"/>
      <c r="L142" s="5"/>
      <c r="M142" s="5"/>
      <c r="N142" s="5"/>
    </row>
    <row r="143" spans="3:14" x14ac:dyDescent="0.25">
      <c r="C143" s="3"/>
      <c r="D143" s="3"/>
      <c r="E143" s="3"/>
      <c r="F143" s="3"/>
      <c r="G143" s="3"/>
      <c r="H143" s="3"/>
      <c r="I143" s="3"/>
      <c r="J143" s="3"/>
      <c r="K143" s="3"/>
      <c r="L143" s="5"/>
      <c r="M143" s="5"/>
      <c r="N143" s="5"/>
    </row>
    <row r="144" spans="3:14" x14ac:dyDescent="0.25">
      <c r="C144" s="3"/>
      <c r="D144" s="3"/>
      <c r="E144" s="3"/>
      <c r="F144" s="3"/>
      <c r="G144" s="3"/>
      <c r="H144" s="3"/>
      <c r="I144" s="3"/>
      <c r="J144" s="3"/>
      <c r="K144" s="3"/>
      <c r="L144" s="5"/>
      <c r="M144" s="5"/>
      <c r="N144" s="5"/>
    </row>
    <row r="145" spans="3:14" x14ac:dyDescent="0.25">
      <c r="C145" s="3"/>
      <c r="D145" s="3"/>
      <c r="E145" s="3"/>
      <c r="F145" s="3"/>
      <c r="G145" s="3"/>
      <c r="H145" s="3"/>
      <c r="I145" s="3"/>
      <c r="J145" s="3"/>
      <c r="K145" s="3"/>
      <c r="L145" s="5"/>
      <c r="M145" s="5"/>
      <c r="N145" s="5"/>
    </row>
    <row r="146" spans="3:14" x14ac:dyDescent="0.25">
      <c r="C146" s="3"/>
      <c r="D146" s="3"/>
      <c r="E146" s="3"/>
      <c r="F146" s="3"/>
      <c r="G146" s="3"/>
      <c r="H146" s="3"/>
      <c r="I146" s="3"/>
      <c r="J146" s="3"/>
      <c r="K146" s="3"/>
      <c r="L146" s="5"/>
      <c r="M146" s="5"/>
      <c r="N146" s="5"/>
    </row>
    <row r="147" spans="3:14" x14ac:dyDescent="0.25">
      <c r="C147" s="3"/>
      <c r="D147" s="3"/>
      <c r="E147" s="3"/>
      <c r="F147" s="3"/>
      <c r="G147" s="3"/>
      <c r="H147" s="3"/>
      <c r="I147" s="3"/>
      <c r="J147" s="3"/>
      <c r="K147" s="3"/>
      <c r="L147" s="5"/>
      <c r="M147" s="5"/>
      <c r="N147" s="5"/>
    </row>
    <row r="148" spans="3:14" x14ac:dyDescent="0.25">
      <c r="C148" s="3"/>
      <c r="D148" s="3"/>
      <c r="E148" s="3"/>
      <c r="F148" s="3"/>
      <c r="G148" s="3"/>
      <c r="H148" s="3"/>
      <c r="I148" s="3"/>
      <c r="J148" s="3"/>
      <c r="K148" s="3"/>
      <c r="L148" s="5"/>
      <c r="M148" s="5"/>
      <c r="N148" s="5"/>
    </row>
    <row r="149" spans="3:14" x14ac:dyDescent="0.25">
      <c r="C149" s="3"/>
      <c r="D149" s="3"/>
      <c r="E149" s="3"/>
      <c r="F149" s="3"/>
      <c r="G149" s="3"/>
      <c r="H149" s="3"/>
      <c r="I149" s="3"/>
      <c r="J149" s="3"/>
      <c r="K149" s="3"/>
      <c r="L149" s="5"/>
      <c r="M149" s="5"/>
      <c r="N149" s="5"/>
    </row>
    <row r="150" spans="3:14" x14ac:dyDescent="0.25">
      <c r="C150" s="3"/>
      <c r="D150" s="3"/>
      <c r="E150" s="3"/>
      <c r="F150" s="3"/>
      <c r="G150" s="3"/>
      <c r="H150" s="3"/>
      <c r="I150" s="3"/>
      <c r="J150" s="3"/>
      <c r="K150" s="3"/>
      <c r="L150" s="5"/>
      <c r="M150" s="5"/>
      <c r="N150" s="5"/>
    </row>
    <row r="151" spans="3:14" x14ac:dyDescent="0.25">
      <c r="C151" s="3"/>
      <c r="D151" s="3"/>
      <c r="E151" s="3"/>
      <c r="F151" s="3"/>
      <c r="G151" s="3"/>
      <c r="H151" s="3"/>
      <c r="I151" s="3"/>
      <c r="J151" s="3"/>
      <c r="K151" s="3"/>
      <c r="L151" s="5"/>
      <c r="M151" s="5"/>
      <c r="N151" s="5"/>
    </row>
    <row r="152" spans="3:14" x14ac:dyDescent="0.25">
      <c r="C152" s="3"/>
      <c r="D152" s="3"/>
      <c r="E152" s="3"/>
      <c r="F152" s="3"/>
      <c r="G152" s="3"/>
      <c r="H152" s="3"/>
      <c r="I152" s="3"/>
      <c r="J152" s="3"/>
      <c r="K152" s="3"/>
      <c r="L152" s="5"/>
      <c r="M152" s="5"/>
      <c r="N152" s="5"/>
    </row>
    <row r="153" spans="3:14" x14ac:dyDescent="0.25">
      <c r="C153" s="3"/>
      <c r="D153" s="3"/>
      <c r="E153" s="3"/>
      <c r="F153" s="3"/>
      <c r="G153" s="3"/>
      <c r="H153" s="3"/>
      <c r="I153" s="3"/>
      <c r="J153" s="3"/>
      <c r="K153" s="3"/>
      <c r="L153" s="5"/>
      <c r="M153" s="5"/>
      <c r="N153" s="5"/>
    </row>
    <row r="154" spans="3:14" x14ac:dyDescent="0.25">
      <c r="C154" s="3"/>
      <c r="D154" s="3"/>
      <c r="E154" s="3"/>
      <c r="F154" s="3"/>
      <c r="G154" s="3"/>
      <c r="H154" s="3"/>
      <c r="I154" s="3"/>
      <c r="J154" s="3"/>
      <c r="K154" s="3"/>
      <c r="L154" s="5"/>
      <c r="M154" s="5"/>
      <c r="N154" s="5"/>
    </row>
    <row r="155" spans="3:14" x14ac:dyDescent="0.25">
      <c r="C155" s="3"/>
      <c r="D155" s="3"/>
      <c r="E155" s="3"/>
      <c r="F155" s="3"/>
      <c r="G155" s="3"/>
      <c r="H155" s="3"/>
      <c r="I155" s="3"/>
      <c r="J155" s="3"/>
      <c r="K155" s="3"/>
      <c r="L155" s="5"/>
      <c r="M155" s="5"/>
      <c r="N155" s="5"/>
    </row>
    <row r="156" spans="3:14" x14ac:dyDescent="0.25">
      <c r="C156" s="3"/>
      <c r="D156" s="3"/>
      <c r="E156" s="3"/>
      <c r="F156" s="3"/>
      <c r="G156" s="3"/>
      <c r="H156" s="3"/>
      <c r="I156" s="3"/>
      <c r="J156" s="3"/>
      <c r="K156" s="3"/>
      <c r="L156" s="5"/>
      <c r="M156" s="5"/>
      <c r="N156" s="5"/>
    </row>
    <row r="157" spans="3:14" x14ac:dyDescent="0.25">
      <c r="C157" s="3"/>
      <c r="D157" s="3"/>
      <c r="E157" s="3"/>
      <c r="F157" s="3"/>
      <c r="G157" s="3"/>
      <c r="H157" s="3"/>
      <c r="I157" s="3"/>
      <c r="J157" s="3"/>
      <c r="K157" s="3"/>
      <c r="L157" s="5"/>
      <c r="M157" s="5"/>
      <c r="N157" s="5"/>
    </row>
    <row r="158" spans="3:14" x14ac:dyDescent="0.25">
      <c r="C158" s="3"/>
      <c r="D158" s="3"/>
      <c r="E158" s="3"/>
      <c r="F158" s="3"/>
      <c r="G158" s="3"/>
      <c r="H158" s="3"/>
      <c r="I158" s="3"/>
      <c r="J158" s="3"/>
      <c r="K158" s="3"/>
      <c r="L158" s="5"/>
      <c r="M158" s="5"/>
      <c r="N158" s="5"/>
    </row>
    <row r="159" spans="3:14" x14ac:dyDescent="0.25">
      <c r="C159" s="3"/>
      <c r="D159" s="3"/>
      <c r="E159" s="3"/>
      <c r="F159" s="3"/>
      <c r="G159" s="3"/>
      <c r="H159" s="3"/>
      <c r="I159" s="3"/>
      <c r="J159" s="3"/>
      <c r="K159" s="3"/>
      <c r="L159" s="5"/>
      <c r="M159" s="5"/>
      <c r="N159" s="5"/>
    </row>
    <row r="160" spans="3:14" x14ac:dyDescent="0.25">
      <c r="C160" s="3"/>
      <c r="D160" s="3"/>
      <c r="E160" s="3"/>
      <c r="F160" s="3"/>
      <c r="G160" s="3"/>
      <c r="H160" s="3"/>
      <c r="I160" s="3"/>
      <c r="J160" s="3"/>
      <c r="K160" s="3"/>
      <c r="L160" s="5"/>
      <c r="M160" s="5"/>
      <c r="N160" s="5"/>
    </row>
    <row r="161" spans="3:14" x14ac:dyDescent="0.25">
      <c r="C161" s="3"/>
      <c r="D161" s="3"/>
      <c r="E161" s="3"/>
      <c r="F161" s="3"/>
      <c r="G161" s="3"/>
      <c r="H161" s="3"/>
      <c r="I161" s="3"/>
      <c r="J161" s="3"/>
      <c r="K161" s="3"/>
      <c r="L161" s="5"/>
      <c r="M161" s="5"/>
      <c r="N161" s="5"/>
    </row>
    <row r="162" spans="3:14" x14ac:dyDescent="0.25">
      <c r="C162" s="3"/>
      <c r="D162" s="3"/>
      <c r="E162" s="3"/>
      <c r="F162" s="3"/>
      <c r="G162" s="3"/>
      <c r="H162" s="3"/>
      <c r="I162" s="3"/>
      <c r="J162" s="3"/>
      <c r="K162" s="3"/>
      <c r="L162" s="5"/>
      <c r="M162" s="5"/>
      <c r="N162" s="5"/>
    </row>
    <row r="163" spans="3:14" x14ac:dyDescent="0.25">
      <c r="C163" s="3"/>
      <c r="D163" s="3"/>
      <c r="E163" s="3"/>
      <c r="F163" s="3"/>
      <c r="G163" s="3"/>
      <c r="H163" s="3"/>
      <c r="I163" s="3"/>
      <c r="J163" s="3"/>
      <c r="K163" s="3"/>
      <c r="L163" s="5"/>
      <c r="M163" s="5"/>
      <c r="N163" s="5"/>
    </row>
    <row r="164" spans="3:14" x14ac:dyDescent="0.25">
      <c r="C164" s="3"/>
      <c r="D164" s="3"/>
      <c r="E164" s="3"/>
      <c r="F164" s="3"/>
      <c r="G164" s="3"/>
      <c r="H164" s="3"/>
      <c r="I164" s="3"/>
      <c r="J164" s="3"/>
      <c r="K164" s="3"/>
      <c r="L164" s="5"/>
      <c r="M164" s="5"/>
      <c r="N164" s="5"/>
    </row>
    <row r="165" spans="3:14" x14ac:dyDescent="0.25">
      <c r="C165" s="3"/>
      <c r="D165" s="3"/>
      <c r="E165" s="3"/>
      <c r="F165" s="3"/>
      <c r="G165" s="3"/>
      <c r="H165" s="3"/>
      <c r="I165" s="3"/>
      <c r="J165" s="3"/>
      <c r="K165" s="3"/>
      <c r="L165" s="5"/>
      <c r="M165" s="5"/>
      <c r="N165" s="5"/>
    </row>
    <row r="166" spans="3:14" x14ac:dyDescent="0.25">
      <c r="C166" s="3"/>
      <c r="D166" s="3"/>
      <c r="E166" s="3"/>
      <c r="F166" s="3"/>
      <c r="G166" s="3"/>
      <c r="H166" s="3"/>
      <c r="I166" s="3"/>
      <c r="J166" s="3"/>
      <c r="K166" s="3"/>
      <c r="L166" s="5"/>
      <c r="M166" s="5"/>
      <c r="N166" s="5"/>
    </row>
    <row r="167" spans="3:14" x14ac:dyDescent="0.25">
      <c r="C167" s="3"/>
      <c r="D167" s="3"/>
      <c r="E167" s="3"/>
      <c r="F167" s="3"/>
      <c r="G167" s="3"/>
      <c r="H167" s="3"/>
      <c r="I167" s="3"/>
      <c r="J167" s="3"/>
      <c r="K167" s="3"/>
      <c r="L167" s="5"/>
      <c r="M167" s="5"/>
      <c r="N167" s="5"/>
    </row>
    <row r="168" spans="3:14" x14ac:dyDescent="0.25">
      <c r="C168" s="3"/>
      <c r="D168" s="3"/>
      <c r="E168" s="3"/>
      <c r="F168" s="3"/>
      <c r="G168" s="3"/>
      <c r="H168" s="3"/>
      <c r="I168" s="3"/>
      <c r="J168" s="3"/>
      <c r="K168" s="3"/>
      <c r="L168" s="5"/>
      <c r="M168" s="5"/>
      <c r="N168" s="5"/>
    </row>
    <row r="169" spans="3:14" x14ac:dyDescent="0.25">
      <c r="C169" s="3"/>
      <c r="D169" s="3"/>
      <c r="E169" s="3"/>
      <c r="F169" s="3"/>
      <c r="G169" s="3"/>
      <c r="H169" s="3"/>
      <c r="I169" s="3"/>
      <c r="J169" s="3"/>
      <c r="K169" s="3"/>
      <c r="L169" s="5"/>
      <c r="M169" s="5"/>
      <c r="N169" s="5"/>
    </row>
    <row r="170" spans="3:14" x14ac:dyDescent="0.25">
      <c r="C170" s="3"/>
      <c r="D170" s="3"/>
      <c r="E170" s="3"/>
      <c r="F170" s="3"/>
      <c r="G170" s="3"/>
      <c r="H170" s="3"/>
      <c r="I170" s="3"/>
      <c r="J170" s="3"/>
      <c r="K170" s="3"/>
      <c r="L170" s="5"/>
      <c r="M170" s="5"/>
      <c r="N170" s="5"/>
    </row>
    <row r="171" spans="3:14" x14ac:dyDescent="0.25">
      <c r="C171" s="3"/>
      <c r="D171" s="3"/>
      <c r="E171" s="3"/>
      <c r="F171" s="3"/>
      <c r="G171" s="3"/>
      <c r="H171" s="3"/>
      <c r="I171" s="3"/>
      <c r="J171" s="3"/>
      <c r="K171" s="3"/>
      <c r="L171" s="5"/>
      <c r="M171" s="5"/>
      <c r="N171" s="5"/>
    </row>
    <row r="172" spans="3:14" x14ac:dyDescent="0.25">
      <c r="C172" s="3"/>
      <c r="D172" s="3"/>
      <c r="E172" s="3"/>
      <c r="F172" s="3"/>
      <c r="G172" s="3"/>
      <c r="H172" s="3"/>
      <c r="I172" s="3"/>
      <c r="J172" s="3"/>
      <c r="K172" s="3"/>
      <c r="L172" s="5"/>
      <c r="M172" s="5"/>
      <c r="N172" s="5"/>
    </row>
    <row r="173" spans="3:14" x14ac:dyDescent="0.25">
      <c r="C173" s="3"/>
      <c r="D173" s="3"/>
      <c r="E173" s="3"/>
      <c r="F173" s="3"/>
      <c r="G173" s="3"/>
      <c r="H173" s="3"/>
      <c r="I173" s="3"/>
      <c r="J173" s="3"/>
      <c r="K173" s="3"/>
      <c r="L173" s="5"/>
      <c r="M173" s="5"/>
      <c r="N173" s="5"/>
    </row>
    <row r="174" spans="3:14" x14ac:dyDescent="0.25">
      <c r="C174" s="3"/>
      <c r="D174" s="3"/>
      <c r="E174" s="3"/>
      <c r="F174" s="3"/>
      <c r="G174" s="3"/>
      <c r="H174" s="3"/>
      <c r="I174" s="3"/>
      <c r="J174" s="3"/>
      <c r="K174" s="3"/>
      <c r="L174" s="5"/>
      <c r="M174" s="5"/>
      <c r="N174" s="5"/>
    </row>
    <row r="175" spans="3:14" x14ac:dyDescent="0.25">
      <c r="C175" s="3"/>
      <c r="D175" s="3"/>
      <c r="E175" s="3"/>
      <c r="F175" s="3"/>
      <c r="G175" s="3"/>
      <c r="H175" s="3"/>
      <c r="I175" s="3"/>
      <c r="J175" s="3"/>
      <c r="K175" s="3"/>
      <c r="L175" s="5"/>
      <c r="M175" s="5"/>
      <c r="N175" s="5"/>
    </row>
    <row r="176" spans="3:14" x14ac:dyDescent="0.25">
      <c r="C176" s="3"/>
      <c r="D176" s="3"/>
      <c r="E176" s="3"/>
      <c r="F176" s="3"/>
      <c r="G176" s="3"/>
      <c r="H176" s="3"/>
      <c r="I176" s="3"/>
      <c r="J176" s="3"/>
      <c r="K176" s="3"/>
      <c r="L176" s="5"/>
      <c r="M176" s="5"/>
      <c r="N176" s="5"/>
    </row>
    <row r="177" spans="3:14" x14ac:dyDescent="0.25">
      <c r="C177" s="3"/>
      <c r="D177" s="3"/>
      <c r="E177" s="3"/>
      <c r="F177" s="3"/>
      <c r="G177" s="3"/>
      <c r="H177" s="3"/>
      <c r="I177" s="3"/>
      <c r="J177" s="3"/>
      <c r="K177" s="3"/>
      <c r="L177" s="5"/>
      <c r="M177" s="5"/>
      <c r="N177" s="5"/>
    </row>
    <row r="178" spans="3:14" x14ac:dyDescent="0.25">
      <c r="C178" s="3"/>
      <c r="D178" s="3"/>
      <c r="E178" s="3"/>
      <c r="F178" s="3"/>
      <c r="G178" s="3"/>
      <c r="H178" s="3"/>
      <c r="I178" s="3"/>
      <c r="J178" s="3"/>
      <c r="K178" s="3"/>
      <c r="L178" s="5"/>
      <c r="M178" s="5"/>
      <c r="N178" s="5"/>
    </row>
    <row r="179" spans="3:14" x14ac:dyDescent="0.25">
      <c r="C179" s="3"/>
      <c r="D179" s="3"/>
      <c r="E179" s="3"/>
      <c r="F179" s="3"/>
      <c r="G179" s="3"/>
      <c r="H179" s="3"/>
      <c r="I179" s="3"/>
      <c r="J179" s="3"/>
      <c r="K179" s="3"/>
      <c r="L179" s="5"/>
      <c r="M179" s="5"/>
      <c r="N179" s="5"/>
    </row>
    <row r="180" spans="3:14" x14ac:dyDescent="0.25">
      <c r="C180" s="3"/>
      <c r="D180" s="3"/>
      <c r="E180" s="3"/>
      <c r="F180" s="3"/>
      <c r="G180" s="3"/>
      <c r="H180" s="3"/>
      <c r="I180" s="3"/>
      <c r="J180" s="3"/>
      <c r="K180" s="3"/>
      <c r="L180" s="5"/>
      <c r="M180" s="5"/>
      <c r="N180" s="5"/>
    </row>
    <row r="181" spans="3:14" x14ac:dyDescent="0.25">
      <c r="C181" s="3"/>
      <c r="D181" s="3"/>
      <c r="E181" s="3"/>
      <c r="F181" s="3"/>
      <c r="G181" s="3"/>
      <c r="H181" s="3"/>
      <c r="I181" s="3"/>
      <c r="J181" s="3"/>
      <c r="K181" s="3"/>
      <c r="L181" s="5"/>
      <c r="M181" s="5"/>
      <c r="N181" s="5"/>
    </row>
    <row r="182" spans="3:14" x14ac:dyDescent="0.25">
      <c r="C182" s="3"/>
      <c r="D182" s="3"/>
      <c r="E182" s="3"/>
      <c r="F182" s="3"/>
      <c r="G182" s="3"/>
      <c r="H182" s="3"/>
      <c r="I182" s="3"/>
      <c r="J182" s="3"/>
      <c r="K182" s="3"/>
      <c r="L182" s="5"/>
      <c r="M182" s="5"/>
      <c r="N182" s="5"/>
    </row>
    <row r="183" spans="3:14" x14ac:dyDescent="0.25">
      <c r="C183" s="3"/>
      <c r="D183" s="3"/>
      <c r="E183" s="3"/>
      <c r="F183" s="3"/>
      <c r="G183" s="3"/>
      <c r="H183" s="3"/>
      <c r="I183" s="3"/>
      <c r="J183" s="3"/>
      <c r="K183" s="3"/>
      <c r="L183" s="5"/>
      <c r="M183" s="5"/>
      <c r="N183" s="5"/>
    </row>
    <row r="184" spans="3:14" x14ac:dyDescent="0.25">
      <c r="C184" s="3"/>
      <c r="D184" s="3"/>
      <c r="E184" s="3"/>
      <c r="F184" s="3"/>
      <c r="G184" s="3"/>
      <c r="H184" s="3"/>
      <c r="I184" s="3"/>
      <c r="J184" s="3"/>
      <c r="K184" s="3"/>
      <c r="L184" s="5"/>
      <c r="M184" s="5"/>
      <c r="N184" s="5"/>
    </row>
    <row r="185" spans="3:14" x14ac:dyDescent="0.25">
      <c r="C185" s="3"/>
      <c r="D185" s="3"/>
      <c r="E185" s="3"/>
      <c r="F185" s="3"/>
      <c r="G185" s="3"/>
      <c r="H185" s="3"/>
      <c r="I185" s="3"/>
      <c r="J185" s="3"/>
      <c r="K185" s="3"/>
      <c r="L185" s="5"/>
      <c r="M185" s="5"/>
      <c r="N185" s="5"/>
    </row>
    <row r="186" spans="3:14" x14ac:dyDescent="0.25">
      <c r="C186" s="3"/>
      <c r="D186" s="3"/>
      <c r="E186" s="3"/>
      <c r="F186" s="3"/>
      <c r="G186" s="3"/>
      <c r="H186" s="3"/>
      <c r="I186" s="3"/>
      <c r="J186" s="3"/>
      <c r="K186" s="3"/>
      <c r="L186" s="5"/>
      <c r="M186" s="5"/>
      <c r="N186" s="5"/>
    </row>
    <row r="187" spans="3:14" x14ac:dyDescent="0.25">
      <c r="C187" s="3"/>
      <c r="D187" s="3"/>
      <c r="E187" s="3"/>
      <c r="F187" s="3"/>
      <c r="G187" s="3"/>
      <c r="H187" s="3"/>
      <c r="I187" s="3"/>
      <c r="J187" s="3"/>
      <c r="K187" s="3"/>
      <c r="L187" s="5"/>
      <c r="M187" s="5"/>
      <c r="N187" s="5"/>
    </row>
    <row r="188" spans="3:14" x14ac:dyDescent="0.25">
      <c r="C188" s="3"/>
      <c r="D188" s="3"/>
      <c r="E188" s="3"/>
      <c r="F188" s="3"/>
      <c r="G188" s="3"/>
      <c r="H188" s="3"/>
      <c r="I188" s="3"/>
      <c r="J188" s="3"/>
      <c r="K188" s="3"/>
      <c r="L188" s="5"/>
      <c r="M188" s="5"/>
      <c r="N188" s="5"/>
    </row>
    <row r="189" spans="3:14" x14ac:dyDescent="0.25">
      <c r="C189" s="3"/>
      <c r="D189" s="3"/>
      <c r="E189" s="3"/>
      <c r="F189" s="3"/>
      <c r="G189" s="3"/>
      <c r="H189" s="3"/>
      <c r="I189" s="3"/>
      <c r="J189" s="3"/>
      <c r="K189" s="3"/>
      <c r="L189" s="5"/>
      <c r="M189" s="5"/>
      <c r="N189" s="5"/>
    </row>
    <row r="190" spans="3:14" x14ac:dyDescent="0.25">
      <c r="C190" s="3"/>
      <c r="D190" s="3"/>
      <c r="E190" s="3"/>
      <c r="F190" s="3"/>
      <c r="G190" s="3"/>
      <c r="H190" s="3"/>
      <c r="I190" s="3"/>
      <c r="J190" s="3"/>
      <c r="K190" s="3"/>
      <c r="L190" s="5"/>
      <c r="M190" s="5"/>
      <c r="N190" s="5"/>
    </row>
    <row r="191" spans="3:14" x14ac:dyDescent="0.25">
      <c r="C191" s="3"/>
      <c r="D191" s="3"/>
      <c r="E191" s="3"/>
      <c r="F191" s="3"/>
      <c r="G191" s="3"/>
      <c r="H191" s="3"/>
      <c r="I191" s="3"/>
      <c r="J191" s="3"/>
      <c r="K191" s="3"/>
      <c r="L191" s="5"/>
      <c r="M191" s="5"/>
      <c r="N191" s="5"/>
    </row>
    <row r="192" spans="3:14" x14ac:dyDescent="0.25">
      <c r="C192" s="3"/>
      <c r="D192" s="3"/>
      <c r="E192" s="3"/>
      <c r="F192" s="3"/>
      <c r="G192" s="3"/>
      <c r="H192" s="3"/>
      <c r="I192" s="3"/>
      <c r="J192" s="3"/>
      <c r="K192" s="3"/>
      <c r="L192" s="5"/>
      <c r="M192" s="5"/>
      <c r="N192" s="5"/>
    </row>
    <row r="193" spans="1:14" x14ac:dyDescent="0.25">
      <c r="C193" s="3"/>
      <c r="D193" s="3"/>
      <c r="E193" s="3"/>
      <c r="F193" s="3"/>
      <c r="G193" s="3"/>
      <c r="H193" s="3"/>
      <c r="I193" s="3"/>
      <c r="J193" s="3"/>
      <c r="K193" s="3"/>
      <c r="L193" s="5"/>
      <c r="M193" s="5"/>
      <c r="N193" s="5"/>
    </row>
    <row r="194" spans="1:14" x14ac:dyDescent="0.25">
      <c r="C194" s="3"/>
      <c r="D194" s="3"/>
      <c r="E194" s="3"/>
      <c r="F194" s="3"/>
      <c r="G194" s="3"/>
      <c r="H194" s="3"/>
      <c r="I194" s="3"/>
      <c r="J194" s="3"/>
      <c r="K194" s="3"/>
      <c r="L194" s="5"/>
      <c r="M194" s="5"/>
      <c r="N194" s="5"/>
    </row>
    <row r="195" spans="1:14" x14ac:dyDescent="0.25">
      <c r="C195" s="3"/>
      <c r="D195" s="3"/>
      <c r="E195" s="3"/>
      <c r="F195" s="3"/>
      <c r="G195" s="3"/>
      <c r="H195" s="3"/>
      <c r="I195" s="3"/>
      <c r="J195" s="3"/>
      <c r="K195" s="3"/>
      <c r="L195" s="5"/>
      <c r="M195" s="5"/>
      <c r="N195" s="5"/>
    </row>
    <row r="196" spans="1:14" x14ac:dyDescent="0.25">
      <c r="C196" s="3"/>
      <c r="D196" s="3"/>
      <c r="E196" s="3"/>
      <c r="F196" s="3"/>
      <c r="G196" s="3"/>
      <c r="H196" s="3"/>
      <c r="I196" s="3"/>
      <c r="J196" s="3"/>
      <c r="K196" s="3"/>
      <c r="L196" s="5"/>
      <c r="M196" s="5"/>
      <c r="N196" s="5"/>
    </row>
    <row r="197" spans="1:14" x14ac:dyDescent="0.25">
      <c r="C197" s="3"/>
      <c r="D197" s="3"/>
      <c r="E197" s="3"/>
      <c r="F197" s="3"/>
      <c r="G197" s="3"/>
      <c r="H197" s="3"/>
      <c r="I197" s="3"/>
      <c r="J197" s="3"/>
      <c r="K197" s="3"/>
      <c r="L197" s="5"/>
      <c r="M197" s="5"/>
      <c r="N197" s="5"/>
    </row>
    <row r="198" spans="1:14" x14ac:dyDescent="0.25">
      <c r="C198" s="3"/>
      <c r="D198" s="3"/>
      <c r="E198" s="3"/>
      <c r="F198" s="3"/>
      <c r="G198" s="3"/>
      <c r="H198" s="3"/>
      <c r="I198" s="3"/>
      <c r="J198" s="3"/>
      <c r="K198" s="3"/>
      <c r="L198" s="5"/>
      <c r="M198" s="5"/>
      <c r="N198" s="5"/>
    </row>
    <row r="199" spans="1:14" x14ac:dyDescent="0.25">
      <c r="C199" s="3"/>
      <c r="D199" s="3"/>
      <c r="E199" s="3"/>
      <c r="F199" s="3"/>
      <c r="G199" s="3"/>
      <c r="H199" s="3"/>
      <c r="I199" s="3"/>
      <c r="J199" s="3"/>
      <c r="K199" s="3"/>
      <c r="L199" s="5"/>
      <c r="M199" s="5"/>
      <c r="N199" s="5"/>
    </row>
    <row r="200" spans="1:14" x14ac:dyDescent="0.25">
      <c r="C200" s="3"/>
      <c r="D200" s="3"/>
      <c r="E200" s="3"/>
      <c r="F200" s="3"/>
      <c r="G200" s="3"/>
      <c r="H200" s="3"/>
      <c r="I200" s="3"/>
      <c r="J200" s="3"/>
      <c r="K200" s="3"/>
      <c r="L200" s="5"/>
      <c r="M200" s="5"/>
      <c r="N200" s="5"/>
    </row>
    <row r="201" spans="1:14" x14ac:dyDescent="0.25">
      <c r="A201" s="5"/>
      <c r="B201" s="5"/>
      <c r="L201" s="122"/>
      <c r="M201" s="122"/>
      <c r="N201" s="122"/>
    </row>
    <row r="202" spans="1:14" x14ac:dyDescent="0.25">
      <c r="A202" s="5"/>
      <c r="B202" s="5"/>
      <c r="L202" s="122"/>
      <c r="M202" s="122"/>
      <c r="N202" s="122"/>
    </row>
    <row r="203" spans="1:14" x14ac:dyDescent="0.25">
      <c r="A203" s="5"/>
      <c r="B203" s="5"/>
      <c r="L203" s="122"/>
      <c r="M203" s="122"/>
      <c r="N203" s="122"/>
    </row>
    <row r="204" spans="1:14" x14ac:dyDescent="0.25">
      <c r="A204" s="5"/>
      <c r="B204" s="5"/>
      <c r="L204" s="122"/>
      <c r="M204" s="122"/>
      <c r="N204" s="122"/>
    </row>
    <row r="205" spans="1:14" x14ac:dyDescent="0.25">
      <c r="A205" s="5"/>
    </row>
  </sheetData>
  <sortState xmlns:xlrd2="http://schemas.microsoft.com/office/spreadsheetml/2017/richdata2" ref="B3:B82">
    <sortCondition descending="1" ref="B3"/>
  </sortState>
  <mergeCells count="1">
    <mergeCell ref="L1:N1"/>
  </mergeCells>
  <phoneticPr fontId="0"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S23"/>
  <sheetViews>
    <sheetView workbookViewId="0">
      <selection activeCell="B30" sqref="B30"/>
    </sheetView>
  </sheetViews>
  <sheetFormatPr defaultRowHeight="13.5" x14ac:dyDescent="0.25"/>
  <cols>
    <col min="5" max="5" width="12" bestFit="1" customWidth="1"/>
  </cols>
  <sheetData>
    <row r="1" spans="1:19" ht="15" x14ac:dyDescent="0.3">
      <c r="B1" s="4" t="s">
        <v>7</v>
      </c>
      <c r="C1" s="48">
        <v>3.8832964393596763</v>
      </c>
      <c r="D1" s="4" t="s">
        <v>6</v>
      </c>
      <c r="E1" s="49">
        <v>80</v>
      </c>
      <c r="F1" s="4" t="s">
        <v>8</v>
      </c>
      <c r="G1" s="50">
        <v>0.1978817150256324</v>
      </c>
      <c r="H1" s="4" t="s">
        <v>104</v>
      </c>
      <c r="I1" s="50">
        <v>0.12260160055391608</v>
      </c>
      <c r="K1" s="57" t="s">
        <v>151</v>
      </c>
    </row>
    <row r="2" spans="1:19" x14ac:dyDescent="0.25">
      <c r="C2" s="48"/>
    </row>
    <row r="3" spans="1:19" x14ac:dyDescent="0.25">
      <c r="A3" t="s">
        <v>51</v>
      </c>
      <c r="C3" s="4"/>
      <c r="D3" s="4"/>
      <c r="G3" t="s">
        <v>37</v>
      </c>
      <c r="I3" s="4"/>
      <c r="K3" s="21"/>
      <c r="L3" s="69"/>
      <c r="M3" s="69"/>
      <c r="N3" s="69"/>
      <c r="P3" t="s">
        <v>134</v>
      </c>
    </row>
    <row r="4" spans="1:19" ht="15.75" thickBot="1" x14ac:dyDescent="0.35">
      <c r="A4" s="14" t="s">
        <v>133</v>
      </c>
      <c r="B4" s="14" t="s">
        <v>33</v>
      </c>
      <c r="C4" s="15" t="s">
        <v>13</v>
      </c>
      <c r="D4" s="14" t="s">
        <v>15</v>
      </c>
      <c r="E4" s="14" t="s">
        <v>14</v>
      </c>
      <c r="F4" s="13"/>
      <c r="G4" s="14" t="s">
        <v>42</v>
      </c>
      <c r="H4" s="14" t="s">
        <v>43</v>
      </c>
      <c r="I4" s="13" t="s">
        <v>44</v>
      </c>
      <c r="J4" s="13" t="s">
        <v>45</v>
      </c>
      <c r="K4" s="70" t="s">
        <v>40</v>
      </c>
      <c r="L4" s="70" t="s">
        <v>41</v>
      </c>
      <c r="M4" s="70" t="s">
        <v>38</v>
      </c>
      <c r="N4" s="70" t="s">
        <v>39</v>
      </c>
      <c r="P4" s="14" t="s">
        <v>133</v>
      </c>
      <c r="Q4" s="14" t="s">
        <v>135</v>
      </c>
      <c r="R4" s="14" t="s">
        <v>33</v>
      </c>
      <c r="S4" s="14" t="s">
        <v>15</v>
      </c>
    </row>
    <row r="5" spans="1:19" x14ac:dyDescent="0.25">
      <c r="A5">
        <v>1E-3</v>
      </c>
      <c r="B5" s="12">
        <f>NORMSINV(A5)+scale!C$6</f>
        <v>1.9097676938321868</v>
      </c>
      <c r="C5" s="2">
        <v>3.2657233617565868</v>
      </c>
      <c r="D5" s="3">
        <f>C$1+C5*G$1</f>
        <v>4.5295233789833436</v>
      </c>
      <c r="E5" s="5">
        <f>POWER(10,D5)</f>
        <v>33847.249206043416</v>
      </c>
      <c r="G5" s="2">
        <f>1-(POWER(1.64485,2)/(2*(E$1-1)))</f>
        <v>0.98287638276898737</v>
      </c>
      <c r="H5" s="3">
        <f>POWER(C5,2)-POWER(1.64485,2)/E$1</f>
        <v>10.631129931491493</v>
      </c>
      <c r="I5" s="3">
        <f t="shared" ref="I5:I10" si="0">($C5+POWER((POWER($C5,2)-($G5*$H5)),0.5))/$G5</f>
        <v>3.7953231207334612</v>
      </c>
      <c r="J5" s="3">
        <f t="shared" ref="J5:J10" si="1">($C5-POWER((POWER($C5,2)-($G5*$H5)),0.5))/$G5</f>
        <v>2.849914101380469</v>
      </c>
      <c r="K5" s="59">
        <f>C$1+I5*G$1</f>
        <v>4.634321487566849</v>
      </c>
      <c r="L5" s="71">
        <f>POWER(10,K5)</f>
        <v>43084.542687015557</v>
      </c>
      <c r="M5" s="59">
        <f t="shared" ref="M5:M9" si="2">C$1+J5*G$1</f>
        <v>4.4472423294165777</v>
      </c>
      <c r="N5" s="71">
        <f>POWER(10,M5)</f>
        <v>28005.435425203257</v>
      </c>
      <c r="P5">
        <v>1E-3</v>
      </c>
      <c r="Q5" s="2">
        <f>0.001*(1+280/E$1^1.55)</f>
        <v>1.3143174927286035E-3</v>
      </c>
      <c r="R5" s="53">
        <f>NORMSINV(Q5)+scale!C$6</f>
        <v>1.9918732722801678</v>
      </c>
      <c r="S5" s="3">
        <f>D5</f>
        <v>4.5295233789833436</v>
      </c>
    </row>
    <row r="6" spans="1:19" x14ac:dyDescent="0.25">
      <c r="A6">
        <v>2E-3</v>
      </c>
      <c r="B6" s="12">
        <f>NORMSINV(A6)+scale!C$6</f>
        <v>2.1218382609045174</v>
      </c>
      <c r="C6" s="2">
        <v>3.0273336112352789</v>
      </c>
      <c r="D6" s="3">
        <f>C$1+C6*G$1</f>
        <v>4.4823504063056543</v>
      </c>
      <c r="E6" s="5">
        <f t="shared" ref="E6:E9" si="3">POWER(10,D6)</f>
        <v>30363.400377604532</v>
      </c>
      <c r="G6" s="2">
        <f t="shared" ref="G6:G23" si="4">1-(POWER(1.64485,2)/(2*(E$1-1)))</f>
        <v>0.98287638276898737</v>
      </c>
      <c r="H6" s="3">
        <f>POWER(C6,2)-POWER(1.64485,2)/E$1</f>
        <v>9.1309296496835852</v>
      </c>
      <c r="I6" s="3">
        <f t="shared" si="0"/>
        <v>3.5237622502257722</v>
      </c>
      <c r="J6" s="3">
        <f t="shared" si="1"/>
        <v>2.6363890451112639</v>
      </c>
      <c r="K6" s="59">
        <f t="shared" ref="K6:K9" si="5">C$1+I6*G$1</f>
        <v>4.5805845567769339</v>
      </c>
      <c r="L6" s="71">
        <f t="shared" ref="L6:L9" si="6">POWER(10,K6)</f>
        <v>38070.147264819811</v>
      </c>
      <c r="M6" s="59">
        <f t="shared" si="2"/>
        <v>4.4049896250810825</v>
      </c>
      <c r="N6" s="71">
        <f t="shared" ref="N6:N9" si="7">POWER(10,M6)</f>
        <v>25409.120046378164</v>
      </c>
      <c r="P6">
        <v>0.01</v>
      </c>
      <c r="Q6" s="2">
        <f>0.01*(1+26/E$1^1.16)</f>
        <v>1.1612088808669778E-2</v>
      </c>
      <c r="R6" s="3">
        <f>NORMSINV(Q6)+scale!C$6</f>
        <v>2.7302734193683618</v>
      </c>
      <c r="S6" s="3">
        <f>D8</f>
        <v>4.3613846117405055</v>
      </c>
    </row>
    <row r="7" spans="1:19" x14ac:dyDescent="0.25">
      <c r="A7">
        <v>5.0000000000000001E-3</v>
      </c>
      <c r="B7" s="12">
        <f>NORMSINV(A7)+scale!C$6</f>
        <v>2.4241706964511001</v>
      </c>
      <c r="C7" s="2">
        <v>2.6907960574782437</v>
      </c>
      <c r="D7" s="3">
        <f>C$1+C7*G$1</f>
        <v>4.4157557779976813</v>
      </c>
      <c r="E7" s="5">
        <f t="shared" si="3"/>
        <v>26046.8841254338</v>
      </c>
      <c r="G7" s="2">
        <f t="shared" si="4"/>
        <v>0.98287638276898737</v>
      </c>
      <c r="H7" s="3">
        <f t="shared" ref="H7:H9" si="8">POWER(C7,2)-POWER(1.64485,2)/E$1</f>
        <v>7.2065642789092097</v>
      </c>
      <c r="I7" s="3">
        <f t="shared" si="0"/>
        <v>3.1410947423076458</v>
      </c>
      <c r="J7" s="3">
        <f t="shared" si="1"/>
        <v>2.3342551687313318</v>
      </c>
      <c r="K7" s="59">
        <f t="shared" si="5"/>
        <v>4.5048616540255102</v>
      </c>
      <c r="L7" s="71">
        <f t="shared" si="6"/>
        <v>31978.76253135343</v>
      </c>
      <c r="M7" s="59">
        <f t="shared" si="2"/>
        <v>4.3452028554556792</v>
      </c>
      <c r="N7" s="71">
        <f t="shared" si="7"/>
        <v>22141.286697837138</v>
      </c>
      <c r="P7">
        <v>0.05</v>
      </c>
      <c r="Q7" s="2">
        <f>0.05*(1+6/E$1^1.04)</f>
        <v>5.3147079168542513E-2</v>
      </c>
      <c r="R7" s="3">
        <f>NORMSINV(Q7)+scale!C$6</f>
        <v>3.384923633991705</v>
      </c>
      <c r="S7" s="3">
        <f>D11</f>
        <v>4.2155149752222023</v>
      </c>
    </row>
    <row r="8" spans="1:19" x14ac:dyDescent="0.25">
      <c r="A8">
        <v>0.01</v>
      </c>
      <c r="B8" s="12">
        <f>NORMSINV(A8)+scale!C$6</f>
        <v>2.6736521259591592</v>
      </c>
      <c r="C8" s="2">
        <v>2.4160300628024198</v>
      </c>
      <c r="D8" s="3">
        <f t="shared" ref="D8:D9" si="9">C$1+C8*G$1</f>
        <v>4.3613846117405055</v>
      </c>
      <c r="E8" s="5">
        <f t="shared" si="3"/>
        <v>22981.830209375257</v>
      </c>
      <c r="G8" s="2">
        <f t="shared" si="4"/>
        <v>0.98287638276898737</v>
      </c>
      <c r="H8" s="3">
        <f t="shared" si="8"/>
        <v>5.8033821203338141</v>
      </c>
      <c r="I8" s="3">
        <f t="shared" si="0"/>
        <v>2.829437857636385</v>
      </c>
      <c r="J8" s="3">
        <f t="shared" si="1"/>
        <v>2.0868061485445573</v>
      </c>
      <c r="K8" s="59">
        <f>C$1+I8*G$1</f>
        <v>4.4431904551872154</v>
      </c>
      <c r="L8" s="71">
        <f t="shared" si="6"/>
        <v>27745.365811566535</v>
      </c>
      <c r="M8" s="59">
        <f t="shared" si="2"/>
        <v>4.2962372189597078</v>
      </c>
      <c r="N8" s="71">
        <f t="shared" si="7"/>
        <v>19780.497891932038</v>
      </c>
      <c r="P8">
        <v>0.1</v>
      </c>
      <c r="Q8" s="2">
        <f>0.1*(1+3/E$1^1.04)</f>
        <v>0.10314707916854252</v>
      </c>
      <c r="R8" s="3">
        <f>NORMSINV(Q8)+scale!C$6</f>
        <v>3.736178655670229</v>
      </c>
      <c r="S8" s="3">
        <f>D12</f>
        <v>4.1393306767060771</v>
      </c>
    </row>
    <row r="9" spans="1:19" x14ac:dyDescent="0.25">
      <c r="A9">
        <v>0.02</v>
      </c>
      <c r="B9" s="12">
        <f>NORMSINV(A9)+scale!C$6</f>
        <v>2.9462510893681775</v>
      </c>
      <c r="C9" s="2">
        <v>2.1188087183701412</v>
      </c>
      <c r="D9" s="3">
        <f t="shared" si="9"/>
        <v>4.3025699423620223</v>
      </c>
      <c r="E9" s="5">
        <f t="shared" si="3"/>
        <v>20071.04304606999</v>
      </c>
      <c r="G9" s="2">
        <f t="shared" si="4"/>
        <v>0.98287638276898737</v>
      </c>
      <c r="H9" s="3">
        <f t="shared" si="8"/>
        <v>4.4555312410100703</v>
      </c>
      <c r="I9" s="3">
        <f t="shared" si="0"/>
        <v>2.4933379114339438</v>
      </c>
      <c r="J9" s="3">
        <f t="shared" si="1"/>
        <v>1.8181070586872687</v>
      </c>
      <c r="K9" s="59">
        <f t="shared" si="5"/>
        <v>4.376682421412653</v>
      </c>
      <c r="L9" s="71">
        <f t="shared" si="6"/>
        <v>23805.780309390819</v>
      </c>
      <c r="M9" s="59">
        <f t="shared" si="2"/>
        <v>4.2430665822329212</v>
      </c>
      <c r="N9" s="71">
        <f t="shared" si="7"/>
        <v>17501.149803855653</v>
      </c>
      <c r="P9">
        <v>0.3</v>
      </c>
      <c r="Q9" s="2">
        <f>0.3*(1+0.46/E$1^0.925)</f>
        <v>0.30239618777667998</v>
      </c>
      <c r="R9" s="3">
        <f>NORMSINV(Q9)+scale!C$6</f>
        <v>4.4824788025754945</v>
      </c>
      <c r="S9" s="3">
        <f>D14</f>
        <v>3.9840532564074205</v>
      </c>
    </row>
    <row r="10" spans="1:19" x14ac:dyDescent="0.25">
      <c r="A10">
        <v>0.04</v>
      </c>
      <c r="B10" s="12">
        <f>NORMSINV(A10)+scale!C$6</f>
        <v>3.2493139287478305</v>
      </c>
      <c r="C10" s="2">
        <v>1.79206496722246</v>
      </c>
      <c r="D10" s="3">
        <f t="shared" ref="D10" si="10">C$1+C10*G$1</f>
        <v>4.2379133285110102</v>
      </c>
      <c r="E10" s="5">
        <f t="shared" ref="E10" si="11">POWER(10,D10)</f>
        <v>17294.711768410543</v>
      </c>
      <c r="G10" s="2">
        <f t="shared" ref="G10" si="12">1-(POWER(1.64485,2)/(2*(E$1-1)))</f>
        <v>0.98287638276898737</v>
      </c>
      <c r="H10" s="3">
        <f t="shared" ref="H10" si="13">POWER(C10,2)-POWER(1.64485,2)/E$1</f>
        <v>3.1776777027147869</v>
      </c>
      <c r="I10" s="3">
        <f t="shared" si="0"/>
        <v>2.1255007557491887</v>
      </c>
      <c r="J10" s="3">
        <f t="shared" si="1"/>
        <v>1.5210716894525229</v>
      </c>
      <c r="K10" s="59">
        <f t="shared" ref="K10" si="14">C$1+I10*G$1</f>
        <v>4.3038941741956034</v>
      </c>
      <c r="L10" s="71">
        <f t="shared" ref="L10" si="15">POWER(10,K10)</f>
        <v>20132.336195741267</v>
      </c>
      <c r="M10" s="59">
        <f t="shared" ref="M10" si="16">C$1+J10*G$1</f>
        <v>4.1842887139454774</v>
      </c>
      <c r="N10" s="71">
        <f t="shared" ref="N10" si="17">POWER(10,M10)</f>
        <v>15285.819040989367</v>
      </c>
      <c r="P10">
        <v>0.5</v>
      </c>
      <c r="Q10" s="2">
        <v>0.5</v>
      </c>
      <c r="R10" s="3">
        <f>NORMSINV(Q10)+scale!C$6</f>
        <v>5</v>
      </c>
      <c r="S10" s="3">
        <f>D16</f>
        <v>3.8792638779052373</v>
      </c>
    </row>
    <row r="11" spans="1:19" x14ac:dyDescent="0.25">
      <c r="A11">
        <v>0.05</v>
      </c>
      <c r="B11" s="12">
        <f>NORMSINV(A11)+scale!C$6</f>
        <v>3.3551463730485276</v>
      </c>
      <c r="C11" s="2">
        <v>1.6788743508691142</v>
      </c>
      <c r="D11" s="3">
        <f t="shared" ref="D11:D23" si="18">C$1+C11*G$1</f>
        <v>4.2155149752222023</v>
      </c>
      <c r="E11" s="5">
        <f t="shared" ref="E11:E23" si="19">POWER(10,D11)</f>
        <v>16425.362961804247</v>
      </c>
      <c r="G11" s="2">
        <f t="shared" si="4"/>
        <v>0.98287638276898737</v>
      </c>
      <c r="H11" s="3">
        <f t="shared" ref="H11:H23" si="20">POWER(C11,2)-POWER(1.64485,2)/E$1</f>
        <v>2.7847999419749399</v>
      </c>
      <c r="I11" s="3">
        <f t="shared" ref="I11:I23" si="21">($C11+POWER((POWER($C11,2)-($G11*$H11)),0.5))/$G11</f>
        <v>1.9985882022214816</v>
      </c>
      <c r="J11" s="3">
        <f t="shared" ref="J11:J23" si="22">($C11-POWER((POWER($C11,2)-($G11*$H11)),0.5))/$G11</f>
        <v>1.4176590091304515</v>
      </c>
      <c r="K11" s="59">
        <f t="shared" ref="K11:K23" si="23">C$1+I11*G$1</f>
        <v>4.2787805004452588</v>
      </c>
      <c r="L11" s="71">
        <f t="shared" ref="L11:L23" si="24">POWER(10,K11)</f>
        <v>19001.176865481495</v>
      </c>
      <c r="M11" s="59">
        <f t="shared" ref="M11:M23" si="25">C$1+J11*G$1</f>
        <v>4.1638252354079484</v>
      </c>
      <c r="N11" s="71">
        <f t="shared" ref="N11:N23" si="26">POWER(10,M11)</f>
        <v>14582.273364264312</v>
      </c>
    </row>
    <row r="12" spans="1:19" x14ac:dyDescent="0.25">
      <c r="A12">
        <v>0.1</v>
      </c>
      <c r="B12" s="12">
        <f>NORMSINV(A12)+scale!C$6</f>
        <v>3.7184484344553992</v>
      </c>
      <c r="C12" s="2">
        <v>1.2938751683713481</v>
      </c>
      <c r="D12" s="3">
        <f t="shared" si="18"/>
        <v>4.1393306767060771</v>
      </c>
      <c r="E12" s="5">
        <f t="shared" si="19"/>
        <v>13782.58491000637</v>
      </c>
      <c r="G12" s="2">
        <f t="shared" si="4"/>
        <v>0.98287638276898737</v>
      </c>
      <c r="H12" s="3">
        <f t="shared" si="20"/>
        <v>1.6402938072967344</v>
      </c>
      <c r="I12" s="3">
        <f t="shared" si="21"/>
        <v>1.5695627472396909</v>
      </c>
      <c r="J12" s="3">
        <f t="shared" si="22"/>
        <v>1.0632712307753391</v>
      </c>
      <c r="K12" s="59">
        <f t="shared" si="23"/>
        <v>4.1938842076238094</v>
      </c>
      <c r="L12" s="71">
        <f t="shared" si="24"/>
        <v>15627.309289588491</v>
      </c>
      <c r="M12" s="59">
        <f t="shared" si="25"/>
        <v>4.0936983740429156</v>
      </c>
      <c r="N12" s="71">
        <f t="shared" si="26"/>
        <v>12407.902553271282</v>
      </c>
    </row>
    <row r="13" spans="1:19" x14ac:dyDescent="0.25">
      <c r="A13">
        <v>0.2</v>
      </c>
      <c r="B13" s="12">
        <f>NORMSINV(A13)+scale!C$6</f>
        <v>4.1583787664270853</v>
      </c>
      <c r="C13" s="2">
        <v>0.83504520476704192</v>
      </c>
      <c r="D13" s="3">
        <f t="shared" si="18"/>
        <v>4.0485366166029086</v>
      </c>
      <c r="E13" s="5">
        <f t="shared" si="19"/>
        <v>11182.441029503467</v>
      </c>
      <c r="G13" s="2">
        <f t="shared" si="4"/>
        <v>0.98287638276898737</v>
      </c>
      <c r="H13" s="3">
        <f t="shared" si="20"/>
        <v>0.66348134997318098</v>
      </c>
      <c r="I13" s="3">
        <f t="shared" si="21"/>
        <v>1.0658531520371555</v>
      </c>
      <c r="J13" s="3">
        <f t="shared" si="22"/>
        <v>0.63333347897035486</v>
      </c>
      <c r="K13" s="59">
        <f t="shared" si="23"/>
        <v>4.0942092890502648</v>
      </c>
      <c r="L13" s="71">
        <f t="shared" si="24"/>
        <v>12422.508112993481</v>
      </c>
      <c r="M13" s="59">
        <f t="shared" si="25"/>
        <v>4.00862155436148</v>
      </c>
      <c r="N13" s="71">
        <f t="shared" si="26"/>
        <v>10200.502211964194</v>
      </c>
    </row>
    <row r="14" spans="1:19" x14ac:dyDescent="0.25">
      <c r="A14">
        <v>0.3</v>
      </c>
      <c r="B14" s="12">
        <f>NORMSINV(A14)+scale!C$6</f>
        <v>4.4755994872919587</v>
      </c>
      <c r="C14" s="2">
        <v>0.50917699512909875</v>
      </c>
      <c r="D14" s="3">
        <f t="shared" si="18"/>
        <v>3.9840532564074205</v>
      </c>
      <c r="E14" s="5">
        <f t="shared" si="19"/>
        <v>9639.4722272773706</v>
      </c>
      <c r="G14" s="2">
        <f t="shared" si="4"/>
        <v>0.98287638276898737</v>
      </c>
      <c r="H14" s="3">
        <f t="shared" si="20"/>
        <v>0.22544206833744826</v>
      </c>
      <c r="I14" s="3">
        <f t="shared" si="21"/>
        <v>0.71554181164475394</v>
      </c>
      <c r="J14" s="3">
        <f t="shared" si="22"/>
        <v>0.32055388473291413</v>
      </c>
      <c r="K14" s="59">
        <f t="shared" si="23"/>
        <v>4.024889080220488</v>
      </c>
      <c r="L14" s="71">
        <f t="shared" si="24"/>
        <v>10589.832239576504</v>
      </c>
      <c r="M14" s="59">
        <f t="shared" si="25"/>
        <v>3.946728191828754</v>
      </c>
      <c r="N14" s="71">
        <f t="shared" si="26"/>
        <v>8845.6182341267177</v>
      </c>
    </row>
    <row r="15" spans="1:19" x14ac:dyDescent="0.25">
      <c r="A15">
        <v>0.4</v>
      </c>
      <c r="B15" s="12">
        <f>NORMSINV(A15)+scale!C$6</f>
        <v>4.7466528968641999</v>
      </c>
      <c r="C15" s="2">
        <v>0.23402504471165039</v>
      </c>
      <c r="D15" s="3">
        <f t="shared" si="18"/>
        <v>3.9296057165661678</v>
      </c>
      <c r="E15" s="5">
        <f t="shared" si="19"/>
        <v>8503.6566518737727</v>
      </c>
      <c r="G15" s="2">
        <f t="shared" si="4"/>
        <v>0.98287638276898737</v>
      </c>
      <c r="H15" s="3">
        <f t="shared" si="20"/>
        <v>2.0948577521039964E-2</v>
      </c>
      <c r="I15" s="3">
        <f t="shared" si="21"/>
        <v>0.42619560432333298</v>
      </c>
      <c r="J15" s="3">
        <f t="shared" si="22"/>
        <v>5.0008827514470236E-2</v>
      </c>
      <c r="K15" s="59">
        <f t="shared" si="23"/>
        <v>3.967632756479563</v>
      </c>
      <c r="L15" s="71">
        <f t="shared" si="24"/>
        <v>9281.8117605688385</v>
      </c>
      <c r="M15" s="59">
        <f t="shared" si="25"/>
        <v>3.8931922719146606</v>
      </c>
      <c r="N15" s="71">
        <f t="shared" si="26"/>
        <v>7819.7392537273181</v>
      </c>
    </row>
    <row r="16" spans="1:19" x14ac:dyDescent="0.25">
      <c r="A16">
        <v>0.5</v>
      </c>
      <c r="B16" s="12">
        <f>NORMSINV(A16)+scale!C$6</f>
        <v>5</v>
      </c>
      <c r="C16" s="2">
        <v>-2.0378646172116245E-2</v>
      </c>
      <c r="D16" s="3">
        <f t="shared" si="18"/>
        <v>3.8792638779052373</v>
      </c>
      <c r="E16" s="5">
        <f t="shared" si="19"/>
        <v>7572.9288742715908</v>
      </c>
      <c r="G16" s="2">
        <f t="shared" si="4"/>
        <v>0.98287638276898737</v>
      </c>
      <c r="H16" s="3">
        <f t="shared" si="20"/>
        <v>-3.3403854811441688E-2</v>
      </c>
      <c r="I16" s="3">
        <f t="shared" si="21"/>
        <v>0.16478100887700176</v>
      </c>
      <c r="J16" s="3">
        <f t="shared" si="22"/>
        <v>-0.2062483724832061</v>
      </c>
      <c r="K16" s="59">
        <f t="shared" si="23"/>
        <v>3.9159035879999111</v>
      </c>
      <c r="L16" s="71">
        <f t="shared" si="24"/>
        <v>8239.5517926686407</v>
      </c>
      <c r="M16" s="59">
        <f t="shared" si="25"/>
        <v>3.8424836576914538</v>
      </c>
      <c r="N16" s="71">
        <f t="shared" si="26"/>
        <v>6957.9877160910837</v>
      </c>
    </row>
    <row r="17" spans="1:15" x14ac:dyDescent="0.25">
      <c r="A17">
        <v>0.6</v>
      </c>
      <c r="B17" s="12">
        <f>NORMSINV(A17)+scale!C$6</f>
        <v>5.2533471031358001</v>
      </c>
      <c r="C17" s="2">
        <v>-0.27225770344425065</v>
      </c>
      <c r="D17" s="3">
        <f t="shared" si="18"/>
        <v>3.8294216180731881</v>
      </c>
      <c r="E17" s="5">
        <f t="shared" si="19"/>
        <v>6751.8318522348491</v>
      </c>
      <c r="G17" s="2">
        <f t="shared" si="4"/>
        <v>0.98287638276898737</v>
      </c>
      <c r="H17" s="3">
        <f t="shared" si="20"/>
        <v>4.0305113053487537E-2</v>
      </c>
      <c r="I17" s="3">
        <f t="shared" si="21"/>
        <v>-8.7997717435130476E-2</v>
      </c>
      <c r="J17" s="3">
        <f t="shared" si="22"/>
        <v>-0.46600420634136419</v>
      </c>
      <c r="K17" s="59">
        <f t="shared" si="23"/>
        <v>3.8658833001152715</v>
      </c>
      <c r="L17" s="71">
        <f t="shared" si="24"/>
        <v>7343.1652241203165</v>
      </c>
      <c r="M17" s="59">
        <f t="shared" si="25"/>
        <v>3.7910827277996884</v>
      </c>
      <c r="N17" s="71">
        <f t="shared" si="26"/>
        <v>6181.3413593507566</v>
      </c>
    </row>
    <row r="18" spans="1:15" x14ac:dyDescent="0.25">
      <c r="A18">
        <v>0.7</v>
      </c>
      <c r="B18" s="12">
        <f>NORMSINV(A18)+scale!C$6</f>
        <v>5.5244005127080404</v>
      </c>
      <c r="C18" s="2">
        <v>-0.53880076134275878</v>
      </c>
      <c r="D18" s="3">
        <f t="shared" si="18"/>
        <v>3.7766776206480546</v>
      </c>
      <c r="E18" s="5">
        <f t="shared" si="19"/>
        <v>5979.6755543561958</v>
      </c>
      <c r="G18" s="2">
        <f t="shared" si="4"/>
        <v>0.98287638276898737</v>
      </c>
      <c r="H18" s="3">
        <f t="shared" si="20"/>
        <v>0.2564871163922865</v>
      </c>
      <c r="I18" s="3">
        <f t="shared" si="21"/>
        <v>-0.34930545732633578</v>
      </c>
      <c r="J18" s="3">
        <f t="shared" si="22"/>
        <v>-0.74706997866660951</v>
      </c>
      <c r="K18" s="59">
        <f t="shared" si="23"/>
        <v>3.8141752763961283</v>
      </c>
      <c r="L18" s="71">
        <f t="shared" si="24"/>
        <v>6518.9143707048534</v>
      </c>
      <c r="M18" s="59">
        <f t="shared" si="25"/>
        <v>3.7354649507369651</v>
      </c>
      <c r="N18" s="71">
        <f t="shared" si="26"/>
        <v>5438.3224056082308</v>
      </c>
    </row>
    <row r="19" spans="1:15" x14ac:dyDescent="0.25">
      <c r="A19">
        <v>0.8</v>
      </c>
      <c r="B19" s="12">
        <f>NORMSINV(A19)+scale!C$6</f>
        <v>5.8416212335729147</v>
      </c>
      <c r="C19" s="2">
        <v>-0.84695756002077183</v>
      </c>
      <c r="D19" s="3">
        <f t="shared" si="18"/>
        <v>3.7156990248288411</v>
      </c>
      <c r="E19" s="5">
        <f t="shared" si="19"/>
        <v>5196.3575326040109</v>
      </c>
      <c r="G19" s="2">
        <f t="shared" si="4"/>
        <v>0.98287638276898737</v>
      </c>
      <c r="H19" s="3">
        <f t="shared" si="20"/>
        <v>0.68351796444508939</v>
      </c>
      <c r="I19" s="3">
        <f t="shared" si="21"/>
        <v>-0.64463378557705053</v>
      </c>
      <c r="J19" s="3">
        <f t="shared" si="22"/>
        <v>-1.0787926287085361</v>
      </c>
      <c r="K19" s="59">
        <f t="shared" si="23"/>
        <v>3.7557352003062237</v>
      </c>
      <c r="L19" s="71">
        <f t="shared" si="24"/>
        <v>5698.167354998337</v>
      </c>
      <c r="M19" s="59">
        <f t="shared" si="25"/>
        <v>3.6698231038338207</v>
      </c>
      <c r="N19" s="71">
        <f t="shared" si="26"/>
        <v>4675.4466291794033</v>
      </c>
      <c r="O19" s="21"/>
    </row>
    <row r="20" spans="1:15" x14ac:dyDescent="0.25">
      <c r="A20">
        <v>0.9</v>
      </c>
      <c r="B20" s="12">
        <f>NORMSINV(A20)+scale!C$6</f>
        <v>6.2815515655446008</v>
      </c>
      <c r="C20" s="2">
        <v>-1.2676284258528099</v>
      </c>
      <c r="D20" s="3">
        <f t="shared" si="18"/>
        <v>3.6324559524366795</v>
      </c>
      <c r="E20" s="5">
        <f t="shared" si="19"/>
        <v>4289.986765868588</v>
      </c>
      <c r="G20" s="2">
        <f t="shared" si="4"/>
        <v>0.98287638276898737</v>
      </c>
      <c r="H20" s="3">
        <f t="shared" si="20"/>
        <v>1.5730626819988227</v>
      </c>
      <c r="I20" s="3">
        <f t="shared" si="21"/>
        <v>-1.0389320534028652</v>
      </c>
      <c r="J20" s="3">
        <f t="shared" si="22"/>
        <v>-1.5404939010220666</v>
      </c>
      <c r="K20" s="59">
        <f t="shared" si="23"/>
        <v>3.6777107828372153</v>
      </c>
      <c r="L20" s="71">
        <f t="shared" si="24"/>
        <v>4761.1381457990965</v>
      </c>
      <c r="M20" s="59">
        <f t="shared" si="25"/>
        <v>3.5784608642389029</v>
      </c>
      <c r="N20" s="71">
        <f t="shared" si="26"/>
        <v>3788.4439324623841</v>
      </c>
      <c r="O20" s="21"/>
    </row>
    <row r="21" spans="1:15" x14ac:dyDescent="0.25">
      <c r="A21">
        <v>0.95</v>
      </c>
      <c r="B21" s="12">
        <f>NORMSINV(A21)+scale!C$6</f>
        <v>6.6448536269514715</v>
      </c>
      <c r="C21" s="2">
        <v>-1.6091889019145453</v>
      </c>
      <c r="D21" s="3">
        <f t="shared" si="18"/>
        <v>3.5648673796486117</v>
      </c>
      <c r="E21" s="5">
        <f t="shared" si="19"/>
        <v>3671.7016075559313</v>
      </c>
      <c r="G21" s="2">
        <f t="shared" si="4"/>
        <v>0.98287638276898737</v>
      </c>
      <c r="H21" s="3">
        <f t="shared" si="20"/>
        <v>2.5556697780136903</v>
      </c>
      <c r="I21" s="3">
        <f t="shared" si="21"/>
        <v>-1.3538370113286105</v>
      </c>
      <c r="J21" s="3">
        <f t="shared" si="22"/>
        <v>-1.9206111901452971</v>
      </c>
      <c r="K21" s="59">
        <f t="shared" si="23"/>
        <v>3.6153968496927944</v>
      </c>
      <c r="L21" s="71">
        <f t="shared" si="24"/>
        <v>4124.7425774724816</v>
      </c>
      <c r="M21" s="59">
        <f t="shared" si="25"/>
        <v>3.5032426031563038</v>
      </c>
      <c r="N21" s="71">
        <f t="shared" si="26"/>
        <v>3185.9767572569663</v>
      </c>
      <c r="O21" s="21"/>
    </row>
    <row r="22" spans="1:15" x14ac:dyDescent="0.25">
      <c r="A22">
        <v>0.98</v>
      </c>
      <c r="B22" s="12">
        <f>NORMSINV(A22)+scale!C$6</f>
        <v>7.0537489106318221</v>
      </c>
      <c r="C22" s="2">
        <v>-1.9873578838567862</v>
      </c>
      <c r="D22" s="3">
        <f t="shared" si="18"/>
        <v>3.4900346529323838</v>
      </c>
      <c r="E22" s="5">
        <f t="shared" si="19"/>
        <v>3090.5420211201354</v>
      </c>
      <c r="G22" s="2">
        <f t="shared" si="4"/>
        <v>0.98287638276898737</v>
      </c>
      <c r="H22" s="3">
        <f t="shared" si="20"/>
        <v>3.9157722144964735</v>
      </c>
      <c r="I22" s="3">
        <f t="shared" si="21"/>
        <v>-1.6988457996212818</v>
      </c>
      <c r="J22" s="3">
        <f t="shared" si="22"/>
        <v>-2.3451172433362566</v>
      </c>
      <c r="K22" s="59">
        <f t="shared" si="23"/>
        <v>3.5471259189665254</v>
      </c>
      <c r="L22" s="71">
        <f t="shared" si="24"/>
        <v>3524.7305196053139</v>
      </c>
      <c r="M22" s="59">
        <f t="shared" si="25"/>
        <v>3.4192406173121146</v>
      </c>
      <c r="N22" s="71">
        <f t="shared" si="26"/>
        <v>2625.6728730868099</v>
      </c>
    </row>
    <row r="23" spans="1:15" x14ac:dyDescent="0.25">
      <c r="A23" s="2">
        <v>0.99</v>
      </c>
      <c r="B23" s="12">
        <f>NORMSINV(A23)+scale!C$6</f>
        <v>7.3263478740408408</v>
      </c>
      <c r="C23" s="2">
        <v>-2.235814132709105</v>
      </c>
      <c r="D23" s="3">
        <f t="shared" si="18"/>
        <v>3.4408697043006518</v>
      </c>
      <c r="E23" s="5">
        <f t="shared" si="19"/>
        <v>2759.7497603407</v>
      </c>
      <c r="G23" s="2">
        <f t="shared" si="4"/>
        <v>0.98287638276898737</v>
      </c>
      <c r="H23" s="3">
        <f t="shared" si="20"/>
        <v>4.9650456919905173</v>
      </c>
      <c r="I23" s="3">
        <f t="shared" si="21"/>
        <v>-1.9240306226800117</v>
      </c>
      <c r="J23" s="3">
        <f t="shared" si="22"/>
        <v>-2.6255020996554372</v>
      </c>
      <c r="K23" s="59">
        <f t="shared" si="23"/>
        <v>3.5025659599819203</v>
      </c>
      <c r="L23" s="71">
        <f t="shared" si="24"/>
        <v>3181.0167796080555</v>
      </c>
      <c r="M23" s="59">
        <f t="shared" si="25"/>
        <v>3.3637575810764595</v>
      </c>
      <c r="N23" s="71">
        <f t="shared" si="26"/>
        <v>2310.7745783941564</v>
      </c>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M87"/>
  <sheetViews>
    <sheetView workbookViewId="0">
      <selection activeCell="E41" sqref="E41"/>
    </sheetView>
  </sheetViews>
  <sheetFormatPr defaultRowHeight="13.5" x14ac:dyDescent="0.25"/>
  <sheetData>
    <row r="1" spans="1:13" x14ac:dyDescent="0.25">
      <c r="A1" s="5"/>
      <c r="B1" s="5"/>
    </row>
    <row r="3" spans="1:13" x14ac:dyDescent="0.25">
      <c r="B3" t="s">
        <v>26</v>
      </c>
      <c r="F3" t="s">
        <v>30</v>
      </c>
    </row>
    <row r="4" spans="1:13" x14ac:dyDescent="0.25">
      <c r="B4" t="s">
        <v>29</v>
      </c>
      <c r="F4" t="s">
        <v>31</v>
      </c>
      <c r="L4" s="1" t="s">
        <v>85</v>
      </c>
      <c r="M4" s="1" t="s">
        <v>86</v>
      </c>
    </row>
    <row r="5" spans="1:13" x14ac:dyDescent="0.25">
      <c r="B5" s="1" t="s">
        <v>24</v>
      </c>
      <c r="C5" s="1" t="s">
        <v>27</v>
      </c>
      <c r="D5" s="1" t="s">
        <v>28</v>
      </c>
      <c r="E5" s="1"/>
      <c r="F5" s="1" t="s">
        <v>24</v>
      </c>
      <c r="G5" s="1" t="s">
        <v>28</v>
      </c>
      <c r="H5" s="1" t="s">
        <v>27</v>
      </c>
      <c r="M5">
        <v>0</v>
      </c>
    </row>
    <row r="6" spans="1:13" x14ac:dyDescent="0.25">
      <c r="B6" s="7">
        <v>99.99</v>
      </c>
      <c r="C6" s="38">
        <f>C$34</f>
        <v>5</v>
      </c>
      <c r="D6" s="3">
        <f>NORMSINV(B6/100)+C6</f>
        <v>8.7190164854554286</v>
      </c>
      <c r="F6">
        <v>1E-3</v>
      </c>
      <c r="G6" s="36">
        <f t="shared" ref="G6:G32" si="0">B$34</f>
        <v>9</v>
      </c>
      <c r="H6" s="8">
        <f t="shared" ref="H6:H19" si="1">LOG10(F6)</f>
        <v>-3</v>
      </c>
      <c r="L6">
        <v>1</v>
      </c>
      <c r="M6" s="8">
        <f>M5+0.1</f>
        <v>0.1</v>
      </c>
    </row>
    <row r="7" spans="1:13" x14ac:dyDescent="0.25">
      <c r="B7">
        <v>99.9</v>
      </c>
      <c r="C7" s="38">
        <f t="shared" ref="C7:C28" si="2">C$34</f>
        <v>5</v>
      </c>
      <c r="D7" s="3">
        <f t="shared" ref="D7:D28" si="3">NORMSINV(B7/100)+C7</f>
        <v>8.0902323061678469</v>
      </c>
      <c r="F7">
        <v>2E-3</v>
      </c>
      <c r="G7" s="36">
        <f t="shared" si="0"/>
        <v>9</v>
      </c>
      <c r="H7" s="8">
        <f t="shared" si="1"/>
        <v>-2.6989700043360187</v>
      </c>
      <c r="L7">
        <f>L6+1</f>
        <v>2</v>
      </c>
      <c r="M7" s="8">
        <f t="shared" ref="M7:M15" si="4">M6+0.1</f>
        <v>0.2</v>
      </c>
    </row>
    <row r="8" spans="1:13" x14ac:dyDescent="0.25">
      <c r="B8" s="6">
        <v>99.8</v>
      </c>
      <c r="C8" s="38">
        <f t="shared" si="2"/>
        <v>5</v>
      </c>
      <c r="D8" s="3">
        <f t="shared" si="3"/>
        <v>7.8781617390954821</v>
      </c>
      <c r="F8">
        <v>3.0000000000000001E-3</v>
      </c>
      <c r="G8" s="36">
        <f t="shared" si="0"/>
        <v>9</v>
      </c>
      <c r="H8" s="8">
        <f t="shared" si="1"/>
        <v>-2.5228787452803374</v>
      </c>
      <c r="L8">
        <f t="shared" ref="L8:L68" si="5">L7+1</f>
        <v>3</v>
      </c>
      <c r="M8" s="8">
        <f t="shared" si="4"/>
        <v>0.30000000000000004</v>
      </c>
    </row>
    <row r="9" spans="1:13" x14ac:dyDescent="0.25">
      <c r="B9" s="6">
        <v>99</v>
      </c>
      <c r="C9" s="38">
        <f t="shared" si="2"/>
        <v>5</v>
      </c>
      <c r="D9" s="3">
        <f t="shared" si="3"/>
        <v>7.3263478740408408</v>
      </c>
      <c r="F9">
        <v>4.0000000000000001E-3</v>
      </c>
      <c r="G9" s="36">
        <f t="shared" si="0"/>
        <v>9</v>
      </c>
      <c r="H9" s="8">
        <f t="shared" si="1"/>
        <v>-2.3979400086720375</v>
      </c>
      <c r="L9">
        <f t="shared" si="5"/>
        <v>4</v>
      </c>
      <c r="M9" s="8">
        <f t="shared" si="4"/>
        <v>0.4</v>
      </c>
    </row>
    <row r="10" spans="1:13" x14ac:dyDescent="0.25">
      <c r="B10" s="6">
        <v>98</v>
      </c>
      <c r="C10" s="38">
        <f t="shared" si="2"/>
        <v>5</v>
      </c>
      <c r="D10" s="3">
        <f t="shared" si="3"/>
        <v>7.0537489106318221</v>
      </c>
      <c r="E10" s="3"/>
      <c r="F10">
        <v>5.0000000000000001E-3</v>
      </c>
      <c r="G10" s="36">
        <f t="shared" si="0"/>
        <v>9</v>
      </c>
      <c r="H10" s="8">
        <f t="shared" si="1"/>
        <v>-2.3010299956639813</v>
      </c>
      <c r="L10">
        <f t="shared" si="5"/>
        <v>5</v>
      </c>
      <c r="M10" s="8">
        <f t="shared" si="4"/>
        <v>0.5</v>
      </c>
    </row>
    <row r="11" spans="1:13" x14ac:dyDescent="0.25">
      <c r="B11">
        <v>95</v>
      </c>
      <c r="C11" s="38">
        <f t="shared" si="2"/>
        <v>5</v>
      </c>
      <c r="D11" s="3">
        <f t="shared" si="3"/>
        <v>6.6448536269514715</v>
      </c>
      <c r="E11" s="3"/>
      <c r="F11">
        <v>6.0000000000000001E-3</v>
      </c>
      <c r="G11" s="36">
        <f t="shared" si="0"/>
        <v>9</v>
      </c>
      <c r="H11" s="8">
        <f t="shared" si="1"/>
        <v>-2.2218487496163561</v>
      </c>
      <c r="L11">
        <f t="shared" si="5"/>
        <v>6</v>
      </c>
      <c r="M11" s="8">
        <f t="shared" si="4"/>
        <v>0.6</v>
      </c>
    </row>
    <row r="12" spans="1:13" x14ac:dyDescent="0.25">
      <c r="B12">
        <v>90</v>
      </c>
      <c r="C12" s="38">
        <f t="shared" si="2"/>
        <v>5</v>
      </c>
      <c r="D12" s="3">
        <f t="shared" si="3"/>
        <v>6.2815515655446008</v>
      </c>
      <c r="E12" s="3"/>
      <c r="F12">
        <v>6.9999999999999993E-3</v>
      </c>
      <c r="G12" s="36">
        <f t="shared" si="0"/>
        <v>9</v>
      </c>
      <c r="H12" s="8">
        <f t="shared" si="1"/>
        <v>-2.1549019599857431</v>
      </c>
      <c r="L12">
        <f t="shared" si="5"/>
        <v>7</v>
      </c>
      <c r="M12" s="8">
        <f t="shared" si="4"/>
        <v>0.7</v>
      </c>
    </row>
    <row r="13" spans="1:13" x14ac:dyDescent="0.25">
      <c r="B13">
        <v>80</v>
      </c>
      <c r="C13" s="38">
        <f t="shared" si="2"/>
        <v>5</v>
      </c>
      <c r="D13" s="3">
        <f t="shared" si="3"/>
        <v>5.8416212335729147</v>
      </c>
      <c r="E13" s="3"/>
      <c r="F13">
        <v>8.0000000000000002E-3</v>
      </c>
      <c r="G13" s="36">
        <f t="shared" si="0"/>
        <v>9</v>
      </c>
      <c r="H13" s="8">
        <f t="shared" si="1"/>
        <v>-2.0969100130080562</v>
      </c>
      <c r="L13">
        <f t="shared" si="5"/>
        <v>8</v>
      </c>
      <c r="M13" s="8">
        <f t="shared" si="4"/>
        <v>0.79999999999999993</v>
      </c>
    </row>
    <row r="14" spans="1:13" x14ac:dyDescent="0.25">
      <c r="B14">
        <v>70</v>
      </c>
      <c r="C14" s="38">
        <f t="shared" si="2"/>
        <v>5</v>
      </c>
      <c r="D14" s="3">
        <f t="shared" si="3"/>
        <v>5.5244005127080404</v>
      </c>
      <c r="E14" s="3"/>
      <c r="F14">
        <v>9.0000000000000011E-3</v>
      </c>
      <c r="G14" s="36">
        <f t="shared" si="0"/>
        <v>9</v>
      </c>
      <c r="H14" s="8">
        <f t="shared" si="1"/>
        <v>-2.0457574905606752</v>
      </c>
      <c r="L14">
        <f t="shared" si="5"/>
        <v>9</v>
      </c>
      <c r="M14" s="8">
        <f t="shared" si="4"/>
        <v>0.89999999999999991</v>
      </c>
    </row>
    <row r="15" spans="1:13" x14ac:dyDescent="0.25">
      <c r="B15">
        <v>60</v>
      </c>
      <c r="C15" s="38">
        <f t="shared" si="2"/>
        <v>5</v>
      </c>
      <c r="D15" s="3">
        <f t="shared" si="3"/>
        <v>5.2533471031358001</v>
      </c>
      <c r="E15" s="3"/>
      <c r="F15">
        <v>0.01</v>
      </c>
      <c r="G15" s="36">
        <f t="shared" si="0"/>
        <v>9</v>
      </c>
      <c r="H15" s="8">
        <f t="shared" si="1"/>
        <v>-2</v>
      </c>
      <c r="L15">
        <f t="shared" si="5"/>
        <v>10</v>
      </c>
      <c r="M15" s="8">
        <f t="shared" si="4"/>
        <v>0.99999999999999989</v>
      </c>
    </row>
    <row r="16" spans="1:13" x14ac:dyDescent="0.25">
      <c r="B16">
        <v>50</v>
      </c>
      <c r="C16" s="38">
        <f t="shared" si="2"/>
        <v>5</v>
      </c>
      <c r="D16" s="3">
        <f t="shared" si="3"/>
        <v>5</v>
      </c>
      <c r="E16" s="3"/>
      <c r="F16">
        <v>0.02</v>
      </c>
      <c r="G16" s="36">
        <f t="shared" si="0"/>
        <v>9</v>
      </c>
      <c r="H16" s="8">
        <f t="shared" si="1"/>
        <v>-1.6989700043360187</v>
      </c>
      <c r="L16">
        <f t="shared" si="5"/>
        <v>11</v>
      </c>
      <c r="M16" s="8">
        <f>M15+1</f>
        <v>2</v>
      </c>
    </row>
    <row r="17" spans="2:13" x14ac:dyDescent="0.25">
      <c r="B17">
        <v>40</v>
      </c>
      <c r="C17" s="38">
        <f t="shared" si="2"/>
        <v>5</v>
      </c>
      <c r="D17" s="3">
        <f t="shared" si="3"/>
        <v>4.7466528968641999</v>
      </c>
      <c r="E17" s="3"/>
      <c r="F17">
        <v>0.03</v>
      </c>
      <c r="G17" s="36">
        <f t="shared" si="0"/>
        <v>9</v>
      </c>
      <c r="H17" s="8">
        <f t="shared" si="1"/>
        <v>-1.5228787452803376</v>
      </c>
      <c r="L17">
        <f t="shared" si="5"/>
        <v>12</v>
      </c>
      <c r="M17" s="8">
        <f t="shared" ref="M17:M24" si="6">M16+1</f>
        <v>3</v>
      </c>
    </row>
    <row r="18" spans="2:13" x14ac:dyDescent="0.25">
      <c r="B18">
        <v>30</v>
      </c>
      <c r="C18" s="38">
        <f t="shared" si="2"/>
        <v>5</v>
      </c>
      <c r="D18" s="3">
        <f t="shared" si="3"/>
        <v>4.4755994872919587</v>
      </c>
      <c r="E18" s="3"/>
      <c r="F18">
        <v>0.04</v>
      </c>
      <c r="G18" s="36">
        <f t="shared" si="0"/>
        <v>9</v>
      </c>
      <c r="H18" s="8">
        <f t="shared" si="1"/>
        <v>-1.3979400086720375</v>
      </c>
      <c r="L18">
        <f t="shared" si="5"/>
        <v>13</v>
      </c>
      <c r="M18" s="8">
        <f t="shared" si="6"/>
        <v>4</v>
      </c>
    </row>
    <row r="19" spans="2:13" x14ac:dyDescent="0.25">
      <c r="B19">
        <v>20</v>
      </c>
      <c r="C19" s="38">
        <f t="shared" si="2"/>
        <v>5</v>
      </c>
      <c r="D19" s="3">
        <f t="shared" si="3"/>
        <v>4.1583787664270853</v>
      </c>
      <c r="E19" s="3"/>
      <c r="F19">
        <v>0.05</v>
      </c>
      <c r="G19" s="36">
        <f t="shared" si="0"/>
        <v>9</v>
      </c>
      <c r="H19" s="8">
        <f t="shared" si="1"/>
        <v>-1.3010299956639813</v>
      </c>
      <c r="L19">
        <f t="shared" si="5"/>
        <v>14</v>
      </c>
      <c r="M19" s="8">
        <f t="shared" si="6"/>
        <v>5</v>
      </c>
    </row>
    <row r="20" spans="2:13" x14ac:dyDescent="0.25">
      <c r="B20">
        <v>10</v>
      </c>
      <c r="C20" s="38">
        <f t="shared" si="2"/>
        <v>5</v>
      </c>
      <c r="D20" s="3">
        <f t="shared" si="3"/>
        <v>3.7184484344553992</v>
      </c>
      <c r="E20" s="3"/>
      <c r="F20">
        <v>0.06</v>
      </c>
      <c r="G20" s="36">
        <f t="shared" si="0"/>
        <v>9</v>
      </c>
      <c r="H20" s="8">
        <f>LOG10(F20)</f>
        <v>-1.2218487496163564</v>
      </c>
      <c r="L20">
        <f t="shared" si="5"/>
        <v>15</v>
      </c>
      <c r="M20" s="8">
        <f t="shared" si="6"/>
        <v>6</v>
      </c>
    </row>
    <row r="21" spans="2:13" x14ac:dyDescent="0.25">
      <c r="B21">
        <v>5</v>
      </c>
      <c r="C21" s="38">
        <f t="shared" si="2"/>
        <v>5</v>
      </c>
      <c r="D21" s="3">
        <f t="shared" si="3"/>
        <v>3.3551463730485276</v>
      </c>
      <c r="E21" s="3"/>
      <c r="F21">
        <v>7.0000000000000007E-2</v>
      </c>
      <c r="G21" s="36">
        <f t="shared" si="0"/>
        <v>9</v>
      </c>
      <c r="H21" s="8">
        <f>LOG10(F21)</f>
        <v>-1.1549019599857431</v>
      </c>
      <c r="L21">
        <f t="shared" si="5"/>
        <v>16</v>
      </c>
      <c r="M21" s="8">
        <f t="shared" si="6"/>
        <v>7</v>
      </c>
    </row>
    <row r="22" spans="2:13" x14ac:dyDescent="0.25">
      <c r="B22">
        <v>2</v>
      </c>
      <c r="C22" s="38">
        <f t="shared" si="2"/>
        <v>5</v>
      </c>
      <c r="D22" s="3">
        <f t="shared" si="3"/>
        <v>2.9462510893681775</v>
      </c>
      <c r="E22" s="3"/>
      <c r="F22">
        <v>0.08</v>
      </c>
      <c r="G22" s="36">
        <f t="shared" si="0"/>
        <v>9</v>
      </c>
      <c r="H22" s="8">
        <f>LOG10(F22)</f>
        <v>-1.0969100130080565</v>
      </c>
      <c r="L22">
        <f t="shared" si="5"/>
        <v>17</v>
      </c>
      <c r="M22" s="8">
        <f t="shared" si="6"/>
        <v>8</v>
      </c>
    </row>
    <row r="23" spans="2:13" x14ac:dyDescent="0.25">
      <c r="B23">
        <v>1</v>
      </c>
      <c r="C23" s="38">
        <f t="shared" si="2"/>
        <v>5</v>
      </c>
      <c r="D23" s="3">
        <f t="shared" si="3"/>
        <v>2.6736521259591592</v>
      </c>
      <c r="F23">
        <v>0.09</v>
      </c>
      <c r="G23" s="36">
        <f t="shared" si="0"/>
        <v>9</v>
      </c>
      <c r="H23" s="8">
        <f>LOG10(F23)</f>
        <v>-1.0457574905606752</v>
      </c>
      <c r="L23">
        <f t="shared" si="5"/>
        <v>18</v>
      </c>
      <c r="M23" s="8">
        <f t="shared" si="6"/>
        <v>9</v>
      </c>
    </row>
    <row r="24" spans="2:13" x14ac:dyDescent="0.25">
      <c r="B24">
        <v>0.5</v>
      </c>
      <c r="C24" s="38">
        <f t="shared" si="2"/>
        <v>5</v>
      </c>
      <c r="D24" s="3">
        <f t="shared" si="3"/>
        <v>2.4241706964511001</v>
      </c>
      <c r="F24">
        <v>0.1</v>
      </c>
      <c r="G24" s="36">
        <f t="shared" si="0"/>
        <v>9</v>
      </c>
      <c r="H24" s="8">
        <f t="shared" ref="H24:H32" si="7">LOG10(F24)</f>
        <v>-1</v>
      </c>
      <c r="L24">
        <f t="shared" si="5"/>
        <v>19</v>
      </c>
      <c r="M24" s="8">
        <f t="shared" si="6"/>
        <v>10</v>
      </c>
    </row>
    <row r="25" spans="2:13" x14ac:dyDescent="0.25">
      <c r="B25">
        <v>0.2</v>
      </c>
      <c r="C25" s="38">
        <f t="shared" si="2"/>
        <v>5</v>
      </c>
      <c r="D25" s="3">
        <f t="shared" si="3"/>
        <v>2.1218382609045174</v>
      </c>
      <c r="F25">
        <v>0.2</v>
      </c>
      <c r="G25" s="36">
        <f t="shared" si="0"/>
        <v>9</v>
      </c>
      <c r="H25" s="8">
        <f t="shared" si="7"/>
        <v>-0.69897000433601875</v>
      </c>
      <c r="L25">
        <f t="shared" si="5"/>
        <v>20</v>
      </c>
      <c r="M25" s="8">
        <f>M24+10</f>
        <v>20</v>
      </c>
    </row>
    <row r="26" spans="2:13" x14ac:dyDescent="0.25">
      <c r="B26">
        <v>0.1</v>
      </c>
      <c r="C26" s="38">
        <f t="shared" si="2"/>
        <v>5</v>
      </c>
      <c r="D26" s="3">
        <f t="shared" si="3"/>
        <v>1.9097676938321868</v>
      </c>
      <c r="F26">
        <v>0.3</v>
      </c>
      <c r="G26" s="36">
        <f t="shared" si="0"/>
        <v>9</v>
      </c>
      <c r="H26" s="8">
        <f t="shared" si="7"/>
        <v>-0.52287874528033762</v>
      </c>
      <c r="L26">
        <f t="shared" si="5"/>
        <v>21</v>
      </c>
      <c r="M26" s="8">
        <f t="shared" ref="M26:M33" si="8">M25+10</f>
        <v>30</v>
      </c>
    </row>
    <row r="27" spans="2:13" x14ac:dyDescent="0.25">
      <c r="B27">
        <v>0.05</v>
      </c>
      <c r="C27" s="38">
        <f t="shared" si="2"/>
        <v>5</v>
      </c>
      <c r="D27" s="3">
        <f t="shared" si="3"/>
        <v>1.7094732685081055</v>
      </c>
      <c r="F27">
        <v>0.4</v>
      </c>
      <c r="G27" s="36">
        <f t="shared" si="0"/>
        <v>9</v>
      </c>
      <c r="H27" s="8">
        <f t="shared" si="7"/>
        <v>-0.3979400086720376</v>
      </c>
      <c r="L27">
        <f t="shared" si="5"/>
        <v>22</v>
      </c>
      <c r="M27" s="8">
        <f t="shared" si="8"/>
        <v>40</v>
      </c>
    </row>
    <row r="28" spans="2:13" x14ac:dyDescent="0.25">
      <c r="B28">
        <v>0.01</v>
      </c>
      <c r="C28" s="38">
        <f t="shared" si="2"/>
        <v>5</v>
      </c>
      <c r="D28" s="3">
        <f t="shared" si="3"/>
        <v>1.28098351454432</v>
      </c>
      <c r="F28">
        <v>0.5</v>
      </c>
      <c r="G28" s="36">
        <f t="shared" si="0"/>
        <v>9</v>
      </c>
      <c r="H28" s="8">
        <f t="shared" si="7"/>
        <v>-0.3010299956639812</v>
      </c>
      <c r="L28">
        <f t="shared" si="5"/>
        <v>23</v>
      </c>
      <c r="M28" s="8">
        <f t="shared" si="8"/>
        <v>50</v>
      </c>
    </row>
    <row r="29" spans="2:13" x14ac:dyDescent="0.25">
      <c r="D29" s="3"/>
      <c r="F29">
        <v>0.6</v>
      </c>
      <c r="G29" s="36">
        <f t="shared" si="0"/>
        <v>9</v>
      </c>
      <c r="H29" s="8">
        <f t="shared" si="7"/>
        <v>-0.22184874961635639</v>
      </c>
      <c r="L29">
        <f t="shared" si="5"/>
        <v>24</v>
      </c>
      <c r="M29" s="8">
        <f t="shared" si="8"/>
        <v>60</v>
      </c>
    </row>
    <row r="30" spans="2:13" x14ac:dyDescent="0.25">
      <c r="C30" s="1"/>
      <c r="D30" s="3"/>
      <c r="F30">
        <v>0.7</v>
      </c>
      <c r="G30" s="36">
        <f t="shared" si="0"/>
        <v>9</v>
      </c>
      <c r="H30" s="8">
        <f t="shared" si="7"/>
        <v>-0.15490195998574319</v>
      </c>
      <c r="L30">
        <f t="shared" si="5"/>
        <v>25</v>
      </c>
      <c r="M30" s="8">
        <f t="shared" si="8"/>
        <v>70</v>
      </c>
    </row>
    <row r="31" spans="2:13" x14ac:dyDescent="0.25">
      <c r="F31">
        <v>0.8</v>
      </c>
      <c r="G31" s="36">
        <f t="shared" si="0"/>
        <v>9</v>
      </c>
      <c r="H31" s="8">
        <f t="shared" si="7"/>
        <v>-9.6910013008056392E-2</v>
      </c>
      <c r="L31">
        <f t="shared" si="5"/>
        <v>26</v>
      </c>
      <c r="M31" s="8">
        <f t="shared" si="8"/>
        <v>80</v>
      </c>
    </row>
    <row r="32" spans="2:13" x14ac:dyDescent="0.25">
      <c r="B32" t="s">
        <v>72</v>
      </c>
      <c r="F32">
        <v>0.9</v>
      </c>
      <c r="G32" s="36">
        <f t="shared" si="0"/>
        <v>9</v>
      </c>
      <c r="H32" s="8">
        <f t="shared" si="7"/>
        <v>-4.5757490560675115E-2</v>
      </c>
      <c r="L32">
        <f t="shared" si="5"/>
        <v>27</v>
      </c>
      <c r="M32" s="8">
        <f t="shared" si="8"/>
        <v>90</v>
      </c>
    </row>
    <row r="33" spans="1:13" x14ac:dyDescent="0.25">
      <c r="B33" t="s">
        <v>73</v>
      </c>
      <c r="C33" t="s">
        <v>74</v>
      </c>
      <c r="F33">
        <v>1</v>
      </c>
      <c r="G33" s="36">
        <f>B$34</f>
        <v>9</v>
      </c>
      <c r="H33" s="8">
        <f t="shared" ref="H33:H49" si="9">LOG10(F33)</f>
        <v>0</v>
      </c>
      <c r="L33">
        <f t="shared" si="5"/>
        <v>28</v>
      </c>
      <c r="M33" s="8">
        <f t="shared" si="8"/>
        <v>100</v>
      </c>
    </row>
    <row r="34" spans="1:13" x14ac:dyDescent="0.25">
      <c r="A34" s="4" t="s">
        <v>75</v>
      </c>
      <c r="B34" s="35">
        <f>INT(NORMSINV(99.997/100) +C34)</f>
        <v>9</v>
      </c>
      <c r="C34">
        <v>5</v>
      </c>
      <c r="F34">
        <v>2</v>
      </c>
      <c r="G34" s="36">
        <f t="shared" ref="G34:G51" si="10">B$34</f>
        <v>9</v>
      </c>
      <c r="H34" s="8">
        <f t="shared" si="9"/>
        <v>0.3010299956639812</v>
      </c>
      <c r="L34">
        <f t="shared" si="5"/>
        <v>29</v>
      </c>
      <c r="M34" s="8">
        <f>M33+100</f>
        <v>200</v>
      </c>
    </row>
    <row r="35" spans="1:13" x14ac:dyDescent="0.25">
      <c r="A35" s="4" t="s">
        <v>76</v>
      </c>
      <c r="B35" s="35">
        <f>NORMSINV(0.007/100) + C34</f>
        <v>1.1918317355509807</v>
      </c>
      <c r="C35">
        <v>3</v>
      </c>
      <c r="F35">
        <v>3</v>
      </c>
      <c r="G35" s="36">
        <f t="shared" si="10"/>
        <v>9</v>
      </c>
      <c r="H35" s="8">
        <f t="shared" si="9"/>
        <v>0.47712125471966244</v>
      </c>
      <c r="L35">
        <f t="shared" si="5"/>
        <v>30</v>
      </c>
      <c r="M35" s="8">
        <f t="shared" ref="M35:M42" si="11">M34+100</f>
        <v>300</v>
      </c>
    </row>
    <row r="36" spans="1:13" x14ac:dyDescent="0.25">
      <c r="F36">
        <v>4</v>
      </c>
      <c r="G36" s="36">
        <f t="shared" si="10"/>
        <v>9</v>
      </c>
      <c r="H36" s="8">
        <f t="shared" si="9"/>
        <v>0.6020599913279624</v>
      </c>
      <c r="L36">
        <f t="shared" si="5"/>
        <v>31</v>
      </c>
      <c r="M36" s="8">
        <f t="shared" si="11"/>
        <v>400</v>
      </c>
    </row>
    <row r="37" spans="1:13" x14ac:dyDescent="0.25">
      <c r="B37" t="s">
        <v>87</v>
      </c>
      <c r="F37">
        <v>5</v>
      </c>
      <c r="G37" s="36">
        <f t="shared" si="10"/>
        <v>9</v>
      </c>
      <c r="H37" s="8">
        <f t="shared" si="9"/>
        <v>0.69897000433601886</v>
      </c>
      <c r="L37">
        <f t="shared" si="5"/>
        <v>32</v>
      </c>
      <c r="M37" s="8">
        <f t="shared" si="11"/>
        <v>500</v>
      </c>
    </row>
    <row r="38" spans="1:13" x14ac:dyDescent="0.25">
      <c r="A38" s="4" t="s">
        <v>75</v>
      </c>
      <c r="C38">
        <v>5</v>
      </c>
      <c r="F38">
        <v>6</v>
      </c>
      <c r="G38" s="36">
        <f t="shared" si="10"/>
        <v>9</v>
      </c>
      <c r="H38" s="8">
        <f t="shared" si="9"/>
        <v>0.77815125038364363</v>
      </c>
      <c r="L38">
        <f t="shared" si="5"/>
        <v>33</v>
      </c>
      <c r="M38" s="8">
        <f t="shared" si="11"/>
        <v>600</v>
      </c>
    </row>
    <row r="39" spans="1:13" x14ac:dyDescent="0.25">
      <c r="A39" s="4" t="s">
        <v>76</v>
      </c>
      <c r="C39">
        <v>3</v>
      </c>
      <c r="F39">
        <v>7</v>
      </c>
      <c r="G39" s="36">
        <f t="shared" si="10"/>
        <v>9</v>
      </c>
      <c r="H39" s="8">
        <f t="shared" si="9"/>
        <v>0.84509804001425681</v>
      </c>
      <c r="L39">
        <f t="shared" si="5"/>
        <v>34</v>
      </c>
      <c r="M39" s="8">
        <f t="shared" si="11"/>
        <v>700</v>
      </c>
    </row>
    <row r="40" spans="1:13" x14ac:dyDescent="0.25">
      <c r="F40">
        <v>8</v>
      </c>
      <c r="G40" s="36">
        <f t="shared" si="10"/>
        <v>9</v>
      </c>
      <c r="H40" s="8">
        <f t="shared" si="9"/>
        <v>0.90308998699194354</v>
      </c>
      <c r="L40">
        <f t="shared" si="5"/>
        <v>35</v>
      </c>
      <c r="M40" s="8">
        <f t="shared" si="11"/>
        <v>800</v>
      </c>
    </row>
    <row r="41" spans="1:13" x14ac:dyDescent="0.25">
      <c r="B41" s="56" t="s">
        <v>146</v>
      </c>
      <c r="F41">
        <v>9</v>
      </c>
      <c r="G41" s="36">
        <f t="shared" si="10"/>
        <v>9</v>
      </c>
      <c r="H41" s="8">
        <f t="shared" si="9"/>
        <v>0.95424250943932487</v>
      </c>
      <c r="L41">
        <f t="shared" si="5"/>
        <v>36</v>
      </c>
      <c r="M41" s="8">
        <f t="shared" si="11"/>
        <v>900</v>
      </c>
    </row>
    <row r="42" spans="1:13" x14ac:dyDescent="0.25">
      <c r="B42">
        <v>8</v>
      </c>
      <c r="C42" s="56" t="s">
        <v>148</v>
      </c>
      <c r="F42">
        <v>10</v>
      </c>
      <c r="G42" s="36">
        <f t="shared" si="10"/>
        <v>9</v>
      </c>
      <c r="H42" s="8">
        <f t="shared" si="9"/>
        <v>1</v>
      </c>
      <c r="L42">
        <f t="shared" si="5"/>
        <v>37</v>
      </c>
      <c r="M42" s="8">
        <f t="shared" si="11"/>
        <v>1000</v>
      </c>
    </row>
    <row r="43" spans="1:13" x14ac:dyDescent="0.25">
      <c r="B43">
        <f>C34-C35</f>
        <v>2</v>
      </c>
      <c r="C43" s="56" t="s">
        <v>147</v>
      </c>
      <c r="F43">
        <v>20</v>
      </c>
      <c r="G43" s="36">
        <f t="shared" si="10"/>
        <v>9</v>
      </c>
      <c r="H43" s="8">
        <f t="shared" si="9"/>
        <v>1.3010299956639813</v>
      </c>
      <c r="L43">
        <f t="shared" si="5"/>
        <v>38</v>
      </c>
      <c r="M43" s="8"/>
    </row>
    <row r="44" spans="1:13" x14ac:dyDescent="0.25">
      <c r="F44">
        <v>30</v>
      </c>
      <c r="G44" s="36">
        <f t="shared" si="10"/>
        <v>9</v>
      </c>
      <c r="H44" s="8">
        <f t="shared" si="9"/>
        <v>1.4771212547196624</v>
      </c>
      <c r="L44">
        <f t="shared" si="5"/>
        <v>39</v>
      </c>
      <c r="M44" s="8"/>
    </row>
    <row r="45" spans="1:13" x14ac:dyDescent="0.25">
      <c r="F45">
        <v>40</v>
      </c>
      <c r="G45" s="36">
        <f t="shared" si="10"/>
        <v>9</v>
      </c>
      <c r="H45" s="8">
        <f t="shared" si="9"/>
        <v>1.6020599913279623</v>
      </c>
      <c r="L45">
        <f t="shared" si="5"/>
        <v>40</v>
      </c>
    </row>
    <row r="46" spans="1:13" x14ac:dyDescent="0.25">
      <c r="F46">
        <v>50</v>
      </c>
      <c r="G46" s="36">
        <f t="shared" si="10"/>
        <v>9</v>
      </c>
      <c r="H46" s="8">
        <f t="shared" si="9"/>
        <v>1.6989700043360187</v>
      </c>
      <c r="L46">
        <f t="shared" si="5"/>
        <v>41</v>
      </c>
    </row>
    <row r="47" spans="1:13" x14ac:dyDescent="0.25">
      <c r="F47">
        <v>60</v>
      </c>
      <c r="G47" s="36">
        <f t="shared" si="10"/>
        <v>9</v>
      </c>
      <c r="H47" s="8">
        <f t="shared" si="9"/>
        <v>1.7781512503836436</v>
      </c>
      <c r="L47">
        <f t="shared" si="5"/>
        <v>42</v>
      </c>
    </row>
    <row r="48" spans="1:13" x14ac:dyDescent="0.25">
      <c r="F48">
        <v>70</v>
      </c>
      <c r="G48" s="36">
        <f t="shared" si="10"/>
        <v>9</v>
      </c>
      <c r="H48" s="8">
        <f t="shared" si="9"/>
        <v>1.8450980400142569</v>
      </c>
      <c r="L48">
        <f t="shared" si="5"/>
        <v>43</v>
      </c>
    </row>
    <row r="49" spans="6:12" x14ac:dyDescent="0.25">
      <c r="F49">
        <v>80</v>
      </c>
      <c r="G49" s="36">
        <f t="shared" si="10"/>
        <v>9</v>
      </c>
      <c r="H49" s="8">
        <f t="shared" si="9"/>
        <v>1.9030899869919435</v>
      </c>
      <c r="L49">
        <f t="shared" si="5"/>
        <v>44</v>
      </c>
    </row>
    <row r="50" spans="6:12" x14ac:dyDescent="0.25">
      <c r="F50">
        <v>90</v>
      </c>
      <c r="G50" s="36">
        <f t="shared" si="10"/>
        <v>9</v>
      </c>
      <c r="H50" s="8">
        <f>LOG10(F50)</f>
        <v>1.954242509439325</v>
      </c>
      <c r="L50">
        <f t="shared" si="5"/>
        <v>45</v>
      </c>
    </row>
    <row r="51" spans="6:12" x14ac:dyDescent="0.25">
      <c r="F51">
        <v>100</v>
      </c>
      <c r="G51" s="36">
        <f t="shared" si="10"/>
        <v>9</v>
      </c>
      <c r="H51" s="8">
        <f>LOG10(F51)</f>
        <v>2</v>
      </c>
      <c r="L51">
        <f t="shared" si="5"/>
        <v>46</v>
      </c>
    </row>
    <row r="52" spans="6:12" x14ac:dyDescent="0.25">
      <c r="F52">
        <v>200</v>
      </c>
      <c r="G52" s="37">
        <f t="shared" ref="G52:G87" si="12">B$34</f>
        <v>9</v>
      </c>
      <c r="H52" s="8">
        <v>2.3010299956639808</v>
      </c>
      <c r="L52">
        <f t="shared" si="5"/>
        <v>47</v>
      </c>
    </row>
    <row r="53" spans="6:12" x14ac:dyDescent="0.25">
      <c r="F53">
        <v>300</v>
      </c>
      <c r="G53" s="37">
        <f t="shared" si="12"/>
        <v>9</v>
      </c>
      <c r="H53" s="8">
        <v>2.4771212547196622</v>
      </c>
      <c r="L53">
        <f t="shared" si="5"/>
        <v>48</v>
      </c>
    </row>
    <row r="54" spans="6:12" x14ac:dyDescent="0.25">
      <c r="F54">
        <v>400</v>
      </c>
      <c r="G54" s="37">
        <f t="shared" si="12"/>
        <v>9</v>
      </c>
      <c r="H54" s="8">
        <v>2.6020599913279621</v>
      </c>
      <c r="L54">
        <f t="shared" si="5"/>
        <v>49</v>
      </c>
    </row>
    <row r="55" spans="6:12" x14ac:dyDescent="0.25">
      <c r="F55">
        <v>500</v>
      </c>
      <c r="G55" s="37">
        <f t="shared" si="12"/>
        <v>9</v>
      </c>
      <c r="H55" s="8">
        <v>2.6989700043360187</v>
      </c>
      <c r="L55">
        <f t="shared" si="5"/>
        <v>50</v>
      </c>
    </row>
    <row r="56" spans="6:12" x14ac:dyDescent="0.25">
      <c r="F56">
        <v>600</v>
      </c>
      <c r="G56" s="37">
        <f t="shared" si="12"/>
        <v>9</v>
      </c>
      <c r="H56" s="8">
        <v>2.7781512503836434</v>
      </c>
      <c r="L56">
        <f t="shared" si="5"/>
        <v>51</v>
      </c>
    </row>
    <row r="57" spans="6:12" x14ac:dyDescent="0.25">
      <c r="F57">
        <v>700</v>
      </c>
      <c r="G57" s="37">
        <f t="shared" si="12"/>
        <v>9</v>
      </c>
      <c r="H57" s="8">
        <v>2.8450980400142565</v>
      </c>
      <c r="L57">
        <f t="shared" si="5"/>
        <v>52</v>
      </c>
    </row>
    <row r="58" spans="6:12" x14ac:dyDescent="0.25">
      <c r="F58">
        <v>800</v>
      </c>
      <c r="G58" s="37">
        <f t="shared" si="12"/>
        <v>9</v>
      </c>
      <c r="H58" s="8">
        <v>2.9030899869919433</v>
      </c>
      <c r="L58">
        <f t="shared" si="5"/>
        <v>53</v>
      </c>
    </row>
    <row r="59" spans="6:12" x14ac:dyDescent="0.25">
      <c r="F59">
        <v>900</v>
      </c>
      <c r="G59" s="37">
        <f t="shared" si="12"/>
        <v>9</v>
      </c>
      <c r="H59" s="8">
        <v>2.9542425094393248</v>
      </c>
      <c r="L59">
        <f t="shared" si="5"/>
        <v>54</v>
      </c>
    </row>
    <row r="60" spans="6:12" x14ac:dyDescent="0.25">
      <c r="F60">
        <v>1000</v>
      </c>
      <c r="G60" s="37">
        <f t="shared" si="12"/>
        <v>9</v>
      </c>
      <c r="H60" s="8">
        <v>3</v>
      </c>
      <c r="L60">
        <f t="shared" si="5"/>
        <v>55</v>
      </c>
    </row>
    <row r="61" spans="6:12" x14ac:dyDescent="0.25">
      <c r="F61">
        <v>2000</v>
      </c>
      <c r="G61" s="37">
        <f t="shared" si="12"/>
        <v>9</v>
      </c>
      <c r="H61" s="8">
        <v>3.3010299956639808</v>
      </c>
      <c r="L61">
        <f t="shared" si="5"/>
        <v>56</v>
      </c>
    </row>
    <row r="62" spans="6:12" x14ac:dyDescent="0.25">
      <c r="F62">
        <v>3000</v>
      </c>
      <c r="G62" s="37">
        <f t="shared" si="12"/>
        <v>9</v>
      </c>
      <c r="H62" s="8">
        <v>3.4771212547196622</v>
      </c>
      <c r="L62">
        <f t="shared" si="5"/>
        <v>57</v>
      </c>
    </row>
    <row r="63" spans="6:12" x14ac:dyDescent="0.25">
      <c r="F63">
        <v>4000</v>
      </c>
      <c r="G63" s="37">
        <f t="shared" si="12"/>
        <v>9</v>
      </c>
      <c r="H63" s="8">
        <v>3.6020599913279621</v>
      </c>
      <c r="L63">
        <f t="shared" si="5"/>
        <v>58</v>
      </c>
    </row>
    <row r="64" spans="6:12" x14ac:dyDescent="0.25">
      <c r="F64">
        <v>5000</v>
      </c>
      <c r="G64" s="37">
        <f t="shared" si="12"/>
        <v>9</v>
      </c>
      <c r="H64" s="8">
        <v>3.6989700043360183</v>
      </c>
      <c r="L64">
        <f t="shared" si="5"/>
        <v>59</v>
      </c>
    </row>
    <row r="65" spans="6:12" x14ac:dyDescent="0.25">
      <c r="F65">
        <v>6000</v>
      </c>
      <c r="G65" s="37">
        <f t="shared" si="12"/>
        <v>9</v>
      </c>
      <c r="H65" s="8">
        <v>3.7781512503836434</v>
      </c>
      <c r="L65">
        <f t="shared" si="5"/>
        <v>60</v>
      </c>
    </row>
    <row r="66" spans="6:12" x14ac:dyDescent="0.25">
      <c r="F66">
        <v>7000</v>
      </c>
      <c r="G66" s="37">
        <f t="shared" si="12"/>
        <v>9</v>
      </c>
      <c r="H66" s="8">
        <v>3.8450980400142565</v>
      </c>
      <c r="L66">
        <f t="shared" si="5"/>
        <v>61</v>
      </c>
    </row>
    <row r="67" spans="6:12" x14ac:dyDescent="0.25">
      <c r="F67">
        <v>8000</v>
      </c>
      <c r="G67" s="37">
        <f t="shared" si="12"/>
        <v>9</v>
      </c>
      <c r="H67" s="8">
        <v>3.9030899869919433</v>
      </c>
      <c r="L67">
        <f t="shared" si="5"/>
        <v>62</v>
      </c>
    </row>
    <row r="68" spans="6:12" x14ac:dyDescent="0.25">
      <c r="F68">
        <v>9000</v>
      </c>
      <c r="G68" s="37">
        <f t="shared" si="12"/>
        <v>9</v>
      </c>
      <c r="H68" s="8">
        <v>3.9542425094393243</v>
      </c>
      <c r="L68">
        <f t="shared" si="5"/>
        <v>63</v>
      </c>
    </row>
    <row r="69" spans="6:12" x14ac:dyDescent="0.25">
      <c r="F69">
        <v>10000</v>
      </c>
      <c r="G69" s="37">
        <f t="shared" si="12"/>
        <v>9</v>
      </c>
      <c r="H69" s="8">
        <v>4</v>
      </c>
    </row>
    <row r="70" spans="6:12" x14ac:dyDescent="0.25">
      <c r="F70">
        <v>20000</v>
      </c>
      <c r="G70" s="36">
        <f t="shared" si="12"/>
        <v>9</v>
      </c>
      <c r="H70" s="3">
        <f t="shared" ref="H70:H87" si="13">LOG10(F70)</f>
        <v>4.3010299956639813</v>
      </c>
    </row>
    <row r="71" spans="6:12" x14ac:dyDescent="0.25">
      <c r="F71">
        <v>30000</v>
      </c>
      <c r="G71" s="36">
        <f t="shared" si="12"/>
        <v>9</v>
      </c>
      <c r="H71" s="3">
        <f t="shared" si="13"/>
        <v>4.4771212547196626</v>
      </c>
    </row>
    <row r="72" spans="6:12" x14ac:dyDescent="0.25">
      <c r="F72">
        <v>40000</v>
      </c>
      <c r="G72" s="36">
        <f t="shared" si="12"/>
        <v>9</v>
      </c>
      <c r="H72" s="3">
        <f t="shared" si="13"/>
        <v>4.6020599913279625</v>
      </c>
    </row>
    <row r="73" spans="6:12" x14ac:dyDescent="0.25">
      <c r="F73">
        <v>50000</v>
      </c>
      <c r="G73" s="36">
        <f t="shared" si="12"/>
        <v>9</v>
      </c>
      <c r="H73" s="3">
        <f t="shared" si="13"/>
        <v>4.6989700043360187</v>
      </c>
    </row>
    <row r="74" spans="6:12" x14ac:dyDescent="0.25">
      <c r="F74">
        <v>60000</v>
      </c>
      <c r="G74" s="36">
        <f t="shared" si="12"/>
        <v>9</v>
      </c>
      <c r="H74" s="3">
        <f t="shared" si="13"/>
        <v>4.7781512503836439</v>
      </c>
    </row>
    <row r="75" spans="6:12" x14ac:dyDescent="0.25">
      <c r="F75">
        <v>70000</v>
      </c>
      <c r="G75" s="36">
        <f t="shared" si="12"/>
        <v>9</v>
      </c>
      <c r="H75" s="3">
        <f t="shared" si="13"/>
        <v>4.8450980400142569</v>
      </c>
    </row>
    <row r="76" spans="6:12" x14ac:dyDescent="0.25">
      <c r="F76">
        <v>80000</v>
      </c>
      <c r="G76" s="36">
        <f t="shared" si="12"/>
        <v>9</v>
      </c>
      <c r="H76" s="3">
        <f t="shared" si="13"/>
        <v>4.9030899869919438</v>
      </c>
    </row>
    <row r="77" spans="6:12" x14ac:dyDescent="0.25">
      <c r="F77">
        <v>90000</v>
      </c>
      <c r="G77" s="36">
        <f t="shared" si="12"/>
        <v>9</v>
      </c>
      <c r="H77" s="3">
        <f t="shared" si="13"/>
        <v>4.9542425094393252</v>
      </c>
    </row>
    <row r="78" spans="6:12" x14ac:dyDescent="0.25">
      <c r="F78">
        <v>100000</v>
      </c>
      <c r="G78" s="36">
        <f t="shared" si="12"/>
        <v>9</v>
      </c>
      <c r="H78" s="3">
        <f t="shared" si="13"/>
        <v>5</v>
      </c>
    </row>
    <row r="79" spans="6:12" x14ac:dyDescent="0.25">
      <c r="F79">
        <v>200000</v>
      </c>
      <c r="G79" s="36">
        <f t="shared" si="12"/>
        <v>9</v>
      </c>
      <c r="H79" s="3">
        <f t="shared" si="13"/>
        <v>5.3010299956639813</v>
      </c>
    </row>
    <row r="80" spans="6:12" x14ac:dyDescent="0.25">
      <c r="F80">
        <v>300000</v>
      </c>
      <c r="G80" s="36">
        <f t="shared" si="12"/>
        <v>9</v>
      </c>
      <c r="H80" s="3">
        <f t="shared" si="13"/>
        <v>5.4771212547196626</v>
      </c>
    </row>
    <row r="81" spans="6:8" x14ac:dyDescent="0.25">
      <c r="F81">
        <v>400000</v>
      </c>
      <c r="G81" s="36">
        <f t="shared" si="12"/>
        <v>9</v>
      </c>
      <c r="H81" s="3">
        <f t="shared" si="13"/>
        <v>5.6020599913279625</v>
      </c>
    </row>
    <row r="82" spans="6:8" x14ac:dyDescent="0.25">
      <c r="F82">
        <v>500000</v>
      </c>
      <c r="G82" s="36">
        <f t="shared" si="12"/>
        <v>9</v>
      </c>
      <c r="H82" s="3">
        <f t="shared" si="13"/>
        <v>5.6989700043360187</v>
      </c>
    </row>
    <row r="83" spans="6:8" x14ac:dyDescent="0.25">
      <c r="F83">
        <v>600000</v>
      </c>
      <c r="G83" s="36">
        <f t="shared" si="12"/>
        <v>9</v>
      </c>
      <c r="H83" s="3">
        <f t="shared" si="13"/>
        <v>5.7781512503836439</v>
      </c>
    </row>
    <row r="84" spans="6:8" x14ac:dyDescent="0.25">
      <c r="F84">
        <v>700000</v>
      </c>
      <c r="G84" s="36">
        <f t="shared" si="12"/>
        <v>9</v>
      </c>
      <c r="H84" s="3">
        <f t="shared" si="13"/>
        <v>5.8450980400142569</v>
      </c>
    </row>
    <row r="85" spans="6:8" x14ac:dyDescent="0.25">
      <c r="F85">
        <v>800000</v>
      </c>
      <c r="G85" s="36">
        <f t="shared" si="12"/>
        <v>9</v>
      </c>
      <c r="H85" s="3">
        <f t="shared" si="13"/>
        <v>5.9030899869919438</v>
      </c>
    </row>
    <row r="86" spans="6:8" x14ac:dyDescent="0.25">
      <c r="F86">
        <v>900000</v>
      </c>
      <c r="G86" s="36">
        <f t="shared" si="12"/>
        <v>9</v>
      </c>
      <c r="H86" s="3">
        <f t="shared" si="13"/>
        <v>5.9542425094393252</v>
      </c>
    </row>
    <row r="87" spans="6:8" x14ac:dyDescent="0.25">
      <c r="F87">
        <v>1000000</v>
      </c>
      <c r="G87" s="36">
        <f t="shared" si="12"/>
        <v>9</v>
      </c>
      <c r="H87" s="3">
        <f t="shared" si="13"/>
        <v>6</v>
      </c>
    </row>
  </sheetData>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A175"/>
  <sheetViews>
    <sheetView workbookViewId="0">
      <pane xSplit="1" ySplit="1" topLeftCell="B2" activePane="bottomRight" state="frozen"/>
      <selection pane="topRight" activeCell="B1" sqref="B1"/>
      <selection pane="bottomLeft" activeCell="A2" sqref="A2"/>
      <selection pane="bottomRight" activeCell="D35" sqref="D35"/>
    </sheetView>
  </sheetViews>
  <sheetFormatPr defaultRowHeight="13.5" x14ac:dyDescent="0.25"/>
  <cols>
    <col min="1" max="1" width="9.7109375" customWidth="1"/>
    <col min="2" max="2" width="9.42578125" bestFit="1" customWidth="1"/>
    <col min="93" max="93" width="9.42578125" customWidth="1"/>
  </cols>
  <sheetData>
    <row r="1" spans="1:183" ht="15" x14ac:dyDescent="0.3">
      <c r="A1" s="6" t="s">
        <v>71</v>
      </c>
      <c r="B1" s="10">
        <v>9</v>
      </c>
      <c r="C1" s="10">
        <v>8.9</v>
      </c>
      <c r="D1" s="10">
        <v>8.8000000000000007</v>
      </c>
      <c r="E1" s="10">
        <v>8.6999999999999993</v>
      </c>
      <c r="F1" s="10">
        <v>8.6</v>
      </c>
      <c r="G1" s="10">
        <v>8.5</v>
      </c>
      <c r="H1" s="10">
        <v>8.4</v>
      </c>
      <c r="I1" s="10">
        <v>8.3000000000000007</v>
      </c>
      <c r="J1" s="10">
        <v>8.1999999999999993</v>
      </c>
      <c r="K1" s="10">
        <v>8.1</v>
      </c>
      <c r="L1" s="10">
        <v>8</v>
      </c>
      <c r="M1" s="10">
        <v>7.9</v>
      </c>
      <c r="N1" s="10">
        <v>7.8</v>
      </c>
      <c r="O1" s="10">
        <v>7.7</v>
      </c>
      <c r="P1" s="10">
        <v>7.6</v>
      </c>
      <c r="Q1" s="10">
        <v>7.5</v>
      </c>
      <c r="R1" s="10">
        <v>7.4</v>
      </c>
      <c r="S1" s="10">
        <v>7.3</v>
      </c>
      <c r="T1" s="10">
        <v>7.2</v>
      </c>
      <c r="U1" s="10">
        <v>7.1</v>
      </c>
      <c r="V1" s="10">
        <v>7</v>
      </c>
      <c r="W1" s="10">
        <v>6.9</v>
      </c>
      <c r="X1" s="10">
        <v>6.8</v>
      </c>
      <c r="Y1" s="10">
        <v>6.7</v>
      </c>
      <c r="Z1" s="10">
        <v>6.6</v>
      </c>
      <c r="AA1" s="10">
        <v>6.5</v>
      </c>
      <c r="AB1" s="10">
        <v>6.4</v>
      </c>
      <c r="AC1" s="10">
        <v>6.3</v>
      </c>
      <c r="AD1" s="10">
        <v>6.2</v>
      </c>
      <c r="AE1" s="10">
        <v>6.1</v>
      </c>
      <c r="AF1" s="10">
        <v>6</v>
      </c>
      <c r="AG1" s="10">
        <v>5.9</v>
      </c>
      <c r="AH1" s="10">
        <v>5.8</v>
      </c>
      <c r="AI1" s="10">
        <v>5.7</v>
      </c>
      <c r="AJ1" s="10">
        <v>5.6</v>
      </c>
      <c r="AK1" s="10">
        <v>5.5</v>
      </c>
      <c r="AL1" s="10">
        <v>5.4</v>
      </c>
      <c r="AM1" s="10">
        <v>5.3</v>
      </c>
      <c r="AN1" s="10">
        <v>5.2</v>
      </c>
      <c r="AO1" s="10">
        <v>5.0999999999999996</v>
      </c>
      <c r="AP1" s="10">
        <v>5</v>
      </c>
      <c r="AQ1" s="10">
        <v>4.9000000000000004</v>
      </c>
      <c r="AR1" s="10">
        <v>4.8</v>
      </c>
      <c r="AS1" s="10">
        <v>4.7</v>
      </c>
      <c r="AT1" s="10">
        <v>4.5999999999999996</v>
      </c>
      <c r="AU1" s="10">
        <v>4.5</v>
      </c>
      <c r="AV1" s="10">
        <v>4.4000000000000004</v>
      </c>
      <c r="AW1" s="10">
        <v>4.3</v>
      </c>
      <c r="AX1" s="10">
        <v>4.2</v>
      </c>
      <c r="AY1" s="10">
        <v>4.0999999999999996</v>
      </c>
      <c r="AZ1" s="10">
        <v>4</v>
      </c>
      <c r="BA1" s="10">
        <v>3.9</v>
      </c>
      <c r="BB1" s="10">
        <v>3.8</v>
      </c>
      <c r="BC1" s="10">
        <v>3.7</v>
      </c>
      <c r="BD1" s="10">
        <v>3.6</v>
      </c>
      <c r="BE1" s="10">
        <v>3.5</v>
      </c>
      <c r="BF1" s="10">
        <v>3.4</v>
      </c>
      <c r="BG1" s="10">
        <v>3.3</v>
      </c>
      <c r="BH1" s="10">
        <v>3.2</v>
      </c>
      <c r="BI1" s="10">
        <v>3.1</v>
      </c>
      <c r="BJ1" s="10">
        <v>3</v>
      </c>
      <c r="BK1" s="10">
        <v>2.9</v>
      </c>
      <c r="BL1" s="10">
        <v>2.8</v>
      </c>
      <c r="BM1" s="10">
        <v>2.7</v>
      </c>
      <c r="BN1" s="10">
        <v>2.6</v>
      </c>
      <c r="BO1" s="10">
        <v>2.5</v>
      </c>
      <c r="BP1" s="10">
        <v>2.4</v>
      </c>
      <c r="BQ1" s="10">
        <v>2.2999999999999998</v>
      </c>
      <c r="BR1" s="10">
        <v>2.2000000000000002</v>
      </c>
      <c r="BS1" s="10">
        <v>2.1</v>
      </c>
      <c r="BT1" s="10">
        <v>2</v>
      </c>
      <c r="BU1" s="10">
        <v>1.9</v>
      </c>
      <c r="BV1" s="10">
        <v>1.8</v>
      </c>
      <c r="BW1" s="10">
        <v>1.7</v>
      </c>
      <c r="BX1" s="10">
        <v>1.6</v>
      </c>
      <c r="BY1" s="10">
        <v>1.5</v>
      </c>
      <c r="BZ1" s="10">
        <v>1.4</v>
      </c>
      <c r="CA1" s="10">
        <v>1.3</v>
      </c>
      <c r="CB1" s="10">
        <v>1.2</v>
      </c>
      <c r="CC1" s="10">
        <v>1.1000000000000001</v>
      </c>
      <c r="CD1" s="10">
        <v>1</v>
      </c>
      <c r="CE1" s="10">
        <v>0.9</v>
      </c>
      <c r="CF1" s="10">
        <v>0.8</v>
      </c>
      <c r="CG1" s="10">
        <v>0.7</v>
      </c>
      <c r="CH1" s="10">
        <v>0.6</v>
      </c>
      <c r="CI1" s="10">
        <v>0.5</v>
      </c>
      <c r="CJ1" s="10">
        <v>0.4</v>
      </c>
      <c r="CK1" s="10">
        <v>0.3</v>
      </c>
      <c r="CL1" s="10">
        <v>0.2</v>
      </c>
      <c r="CM1" s="10">
        <v>0.1</v>
      </c>
      <c r="CN1" s="29">
        <v>0</v>
      </c>
      <c r="CO1" s="29">
        <v>0</v>
      </c>
      <c r="CP1" s="10">
        <f>-CM1</f>
        <v>-0.1</v>
      </c>
      <c r="CQ1" s="10">
        <f>-CL1</f>
        <v>-0.2</v>
      </c>
      <c r="CR1" s="10">
        <f>-CK1</f>
        <v>-0.3</v>
      </c>
      <c r="CS1" s="10">
        <f>-CJ1</f>
        <v>-0.4</v>
      </c>
      <c r="CT1" s="10">
        <f>-CI1</f>
        <v>-0.5</v>
      </c>
      <c r="CU1" s="10">
        <f>-CH1</f>
        <v>-0.6</v>
      </c>
      <c r="CV1" s="10">
        <f>-CG1</f>
        <v>-0.7</v>
      </c>
      <c r="CW1" s="10">
        <f>-CF1</f>
        <v>-0.8</v>
      </c>
      <c r="CX1" s="10">
        <f>-CE1</f>
        <v>-0.9</v>
      </c>
      <c r="CY1" s="10">
        <f>-CD1</f>
        <v>-1</v>
      </c>
      <c r="CZ1" s="10">
        <f>-CC1</f>
        <v>-1.1000000000000001</v>
      </c>
      <c r="DA1" s="10">
        <f>-CB1</f>
        <v>-1.2</v>
      </c>
      <c r="DB1" s="10">
        <f>-CA1</f>
        <v>-1.3</v>
      </c>
      <c r="DC1" s="10">
        <f>-BZ1</f>
        <v>-1.4</v>
      </c>
      <c r="DD1" s="10">
        <f>-BY1</f>
        <v>-1.5</v>
      </c>
      <c r="DE1" s="10">
        <f>-BX1</f>
        <v>-1.6</v>
      </c>
      <c r="DF1" s="10">
        <f>-BW1</f>
        <v>-1.7</v>
      </c>
      <c r="DG1" s="10">
        <f>-BV1</f>
        <v>-1.8</v>
      </c>
      <c r="DH1" s="10">
        <f>-BU1</f>
        <v>-1.9</v>
      </c>
      <c r="DI1" s="10">
        <f>-BT1</f>
        <v>-2</v>
      </c>
      <c r="DJ1" s="10">
        <f>-BS1</f>
        <v>-2.1</v>
      </c>
      <c r="DK1" s="10">
        <f>-BR1</f>
        <v>-2.2000000000000002</v>
      </c>
      <c r="DL1" s="10">
        <f>-BQ1</f>
        <v>-2.2999999999999998</v>
      </c>
      <c r="DM1" s="10">
        <f>-BP1</f>
        <v>-2.4</v>
      </c>
      <c r="DN1" s="10">
        <f>-BO1</f>
        <v>-2.5</v>
      </c>
      <c r="DO1" s="10">
        <f>-BN1</f>
        <v>-2.6</v>
      </c>
      <c r="DP1" s="10">
        <f>-BM1</f>
        <v>-2.7</v>
      </c>
      <c r="DQ1" s="10">
        <f>-BL1</f>
        <v>-2.8</v>
      </c>
      <c r="DR1" s="10">
        <f>-BK1</f>
        <v>-2.9</v>
      </c>
      <c r="DS1" s="10">
        <f>-BJ1</f>
        <v>-3</v>
      </c>
      <c r="DT1" s="10">
        <f>-BI1</f>
        <v>-3.1</v>
      </c>
      <c r="DU1" s="10">
        <f>-BH1</f>
        <v>-3.2</v>
      </c>
      <c r="DV1" s="10">
        <f>-BG1</f>
        <v>-3.3</v>
      </c>
      <c r="DW1" s="10">
        <f>-BF1</f>
        <v>-3.4</v>
      </c>
      <c r="DX1" s="10">
        <f>-BE1</f>
        <v>-3.5</v>
      </c>
      <c r="DY1" s="10">
        <f>-BD1</f>
        <v>-3.6</v>
      </c>
      <c r="DZ1" s="10">
        <f>-BC1</f>
        <v>-3.7</v>
      </c>
      <c r="EA1" s="10">
        <f>-BB1</f>
        <v>-3.8</v>
      </c>
      <c r="EB1" s="10">
        <f>-BA1</f>
        <v>-3.9</v>
      </c>
      <c r="EC1" s="10">
        <f>-AZ1</f>
        <v>-4</v>
      </c>
      <c r="ED1" s="10">
        <f>-AY1</f>
        <v>-4.0999999999999996</v>
      </c>
      <c r="EE1" s="10">
        <f>-AX1</f>
        <v>-4.2</v>
      </c>
      <c r="EF1" s="10">
        <f>-AW1</f>
        <v>-4.3</v>
      </c>
      <c r="EG1" s="10">
        <f>-AV1</f>
        <v>-4.4000000000000004</v>
      </c>
      <c r="EH1" s="10">
        <f>-AU1</f>
        <v>-4.5</v>
      </c>
      <c r="EI1" s="10">
        <f>-AT1</f>
        <v>-4.5999999999999996</v>
      </c>
      <c r="EJ1" s="10">
        <f>-AS1</f>
        <v>-4.7</v>
      </c>
      <c r="EK1" s="10">
        <f>-AR1</f>
        <v>-4.8</v>
      </c>
      <c r="EL1" s="10">
        <f>-AQ1</f>
        <v>-4.9000000000000004</v>
      </c>
      <c r="EM1" s="10">
        <f>-AP1</f>
        <v>-5</v>
      </c>
      <c r="EN1" s="10">
        <f>-AO1</f>
        <v>-5.0999999999999996</v>
      </c>
      <c r="EO1" s="10">
        <f>-AN1</f>
        <v>-5.2</v>
      </c>
      <c r="EP1" s="10">
        <f>-AM1</f>
        <v>-5.3</v>
      </c>
      <c r="EQ1" s="10">
        <f>-AL1</f>
        <v>-5.4</v>
      </c>
      <c r="ER1" s="10">
        <f>-AK1</f>
        <v>-5.5</v>
      </c>
      <c r="ES1" s="10">
        <f>-AJ1</f>
        <v>-5.6</v>
      </c>
      <c r="ET1" s="10">
        <f>-AI1</f>
        <v>-5.7</v>
      </c>
      <c r="EU1" s="10">
        <f>-AH1</f>
        <v>-5.8</v>
      </c>
      <c r="EV1" s="10">
        <f>-AG1</f>
        <v>-5.9</v>
      </c>
      <c r="EW1" s="10">
        <f>-AF1</f>
        <v>-6</v>
      </c>
      <c r="EX1" s="10">
        <f>-AE1</f>
        <v>-6.1</v>
      </c>
      <c r="EY1" s="10">
        <f>-AD1</f>
        <v>-6.2</v>
      </c>
      <c r="EZ1" s="10">
        <f>-AC1</f>
        <v>-6.3</v>
      </c>
      <c r="FA1" s="10">
        <f>-AB1</f>
        <v>-6.4</v>
      </c>
      <c r="FB1" s="10">
        <f>-AA1</f>
        <v>-6.5</v>
      </c>
      <c r="FC1" s="10">
        <f>-Z1</f>
        <v>-6.6</v>
      </c>
      <c r="FD1" s="10">
        <f>-Y1</f>
        <v>-6.7</v>
      </c>
      <c r="FE1" s="10">
        <f>-X1</f>
        <v>-6.8</v>
      </c>
      <c r="FF1" s="10">
        <f>-W1</f>
        <v>-6.9</v>
      </c>
      <c r="FG1" s="10">
        <f>-V1</f>
        <v>-7</v>
      </c>
      <c r="FH1" s="10">
        <f>-U1</f>
        <v>-7.1</v>
      </c>
      <c r="FI1" s="10">
        <f>-T1</f>
        <v>-7.2</v>
      </c>
      <c r="FJ1" s="10">
        <f>-S1</f>
        <v>-7.3</v>
      </c>
      <c r="FK1" s="10">
        <f>-R1</f>
        <v>-7.4</v>
      </c>
      <c r="FL1" s="10">
        <f>-Q1</f>
        <v>-7.5</v>
      </c>
      <c r="FM1" s="10">
        <f>-P1</f>
        <v>-7.6</v>
      </c>
      <c r="FN1" s="10">
        <f>-O1</f>
        <v>-7.7</v>
      </c>
      <c r="FO1" s="10">
        <f>-N1</f>
        <v>-7.8</v>
      </c>
      <c r="FP1" s="10">
        <f>-M1</f>
        <v>-7.9</v>
      </c>
      <c r="FQ1" s="10">
        <f>-L1</f>
        <v>-8</v>
      </c>
      <c r="FR1" s="10">
        <f>-K1</f>
        <v>-8.1</v>
      </c>
      <c r="FS1" s="10">
        <f>-J1</f>
        <v>-8.1999999999999993</v>
      </c>
      <c r="FT1" s="10">
        <f>-I1</f>
        <v>-8.3000000000000007</v>
      </c>
      <c r="FU1" s="10">
        <f>-H1</f>
        <v>-8.4</v>
      </c>
      <c r="FV1" s="10">
        <f>-G1</f>
        <v>-8.5</v>
      </c>
      <c r="FW1" s="10">
        <f>-F1</f>
        <v>-8.6</v>
      </c>
      <c r="FX1" s="10">
        <f>-E1</f>
        <v>-8.6999999999999993</v>
      </c>
      <c r="FY1" s="10">
        <f>-D1</f>
        <v>-8.8000000000000007</v>
      </c>
      <c r="FZ1" s="10">
        <f>-C1</f>
        <v>-8.9</v>
      </c>
      <c r="GA1" s="10">
        <f>-B1</f>
        <v>-9</v>
      </c>
    </row>
    <row r="2" spans="1:183" ht="15" x14ac:dyDescent="0.3">
      <c r="A2" s="10">
        <v>0.99990000000000001</v>
      </c>
      <c r="B2" s="6">
        <v>-0.22222</v>
      </c>
      <c r="C2" s="6">
        <v>-0.22472</v>
      </c>
      <c r="D2" s="6">
        <v>-0.22727</v>
      </c>
      <c r="E2" s="6">
        <v>-0.22989000000000001</v>
      </c>
      <c r="F2" s="6">
        <v>-0.23255999999999999</v>
      </c>
      <c r="G2" s="6">
        <v>-0.23529</v>
      </c>
      <c r="H2" s="6">
        <v>-0.23810000000000001</v>
      </c>
      <c r="I2" s="6">
        <v>-0.24096000000000001</v>
      </c>
      <c r="J2" s="6">
        <v>-0.24390000000000001</v>
      </c>
      <c r="K2" s="6">
        <v>-0.24690999999999999</v>
      </c>
      <c r="L2" s="6">
        <v>-0.25</v>
      </c>
      <c r="M2" s="6">
        <v>-0.25316</v>
      </c>
      <c r="N2" s="6">
        <v>-0.25641000000000003</v>
      </c>
      <c r="O2" s="6">
        <v>-0.25974000000000003</v>
      </c>
      <c r="P2" s="6">
        <v>-0.26316000000000001</v>
      </c>
      <c r="Q2" s="6">
        <v>-0.26667000000000002</v>
      </c>
      <c r="R2" s="6">
        <v>-0.27027000000000001</v>
      </c>
      <c r="S2" s="6">
        <v>-0.27396999999999999</v>
      </c>
      <c r="T2" s="6">
        <v>-0.27778000000000003</v>
      </c>
      <c r="U2" s="6">
        <v>-0.28169</v>
      </c>
      <c r="V2" s="6">
        <v>-0.28571000000000002</v>
      </c>
      <c r="W2" s="6">
        <v>-0.28986000000000001</v>
      </c>
      <c r="X2" s="6">
        <v>-0.29411999999999999</v>
      </c>
      <c r="Y2" s="6">
        <v>-0.29851</v>
      </c>
      <c r="Z2" s="6">
        <v>-0.30303000000000002</v>
      </c>
      <c r="AA2" s="6">
        <v>-0.30769000000000002</v>
      </c>
      <c r="AB2" s="6">
        <v>-0.3125</v>
      </c>
      <c r="AC2" s="6">
        <v>-0.31746000000000002</v>
      </c>
      <c r="AD2" s="6">
        <v>-0.32257999999999998</v>
      </c>
      <c r="AE2" s="6">
        <v>-0.32786999999999999</v>
      </c>
      <c r="AF2" s="6">
        <v>-0.33333000000000002</v>
      </c>
      <c r="AG2" s="6">
        <v>-0.33898</v>
      </c>
      <c r="AH2" s="6">
        <v>-0.34483000000000003</v>
      </c>
      <c r="AI2" s="6">
        <v>-0.35088000000000003</v>
      </c>
      <c r="AJ2" s="6">
        <v>-0.35714000000000001</v>
      </c>
      <c r="AK2" s="6">
        <v>-0.36364000000000002</v>
      </c>
      <c r="AL2" s="6">
        <v>-0.37036999999999998</v>
      </c>
      <c r="AM2" s="6">
        <v>-0.37735999999999997</v>
      </c>
      <c r="AN2" s="6">
        <v>-0.38462000000000002</v>
      </c>
      <c r="AO2" s="6">
        <v>-0.39216000000000001</v>
      </c>
      <c r="AP2" s="6">
        <v>-0.4</v>
      </c>
      <c r="AQ2" s="6">
        <v>-0.40816000000000002</v>
      </c>
      <c r="AR2" s="6">
        <v>-0.41666999999999998</v>
      </c>
      <c r="AS2" s="6">
        <v>-0.42553000000000002</v>
      </c>
      <c r="AT2" s="6">
        <v>-0.43478</v>
      </c>
      <c r="AU2" s="6">
        <v>-0.44444</v>
      </c>
      <c r="AV2" s="6">
        <v>-0.45455000000000001</v>
      </c>
      <c r="AW2" s="6">
        <v>-0.46511999999999998</v>
      </c>
      <c r="AX2" s="6">
        <v>-0.47619</v>
      </c>
      <c r="AY2" s="6">
        <v>-0.48780000000000001</v>
      </c>
      <c r="AZ2" s="6">
        <v>-0.5</v>
      </c>
      <c r="BA2" s="6">
        <v>-0.51282000000000005</v>
      </c>
      <c r="BB2" s="6">
        <v>-0.52632000000000001</v>
      </c>
      <c r="BC2" s="6">
        <v>-0.54054000000000002</v>
      </c>
      <c r="BD2" s="6">
        <v>-0.55556000000000005</v>
      </c>
      <c r="BE2" s="6">
        <v>-0.57142999999999999</v>
      </c>
      <c r="BF2" s="6">
        <v>-0.58823999999999999</v>
      </c>
      <c r="BG2" s="6">
        <v>-0.60606000000000004</v>
      </c>
      <c r="BH2" s="6">
        <v>-0.625</v>
      </c>
      <c r="BI2" s="6">
        <v>-0.64515999999999996</v>
      </c>
      <c r="BJ2" s="6">
        <v>-0.66666999999999998</v>
      </c>
      <c r="BK2" s="6">
        <v>-0.68966000000000005</v>
      </c>
      <c r="BL2" s="6">
        <v>-0.71428999999999998</v>
      </c>
      <c r="BM2" s="6">
        <v>-0.74073999999999995</v>
      </c>
      <c r="BN2" s="6">
        <v>-0.76922999999999997</v>
      </c>
      <c r="BO2" s="6">
        <v>-0.8</v>
      </c>
      <c r="BP2" s="6">
        <v>-0.83333000000000002</v>
      </c>
      <c r="BQ2" s="6">
        <v>-0.86956</v>
      </c>
      <c r="BR2" s="6">
        <v>-0.90908</v>
      </c>
      <c r="BS2" s="6">
        <v>-0.95233999999999996</v>
      </c>
      <c r="BT2" s="6">
        <v>-0.99990000000000001</v>
      </c>
      <c r="BU2" s="6">
        <v>-1.0523899999999999</v>
      </c>
      <c r="BV2" s="6">
        <v>-1.1105400000000001</v>
      </c>
      <c r="BW2" s="6">
        <v>-1.1752</v>
      </c>
      <c r="BX2" s="6">
        <v>-1.2472799999999999</v>
      </c>
      <c r="BY2" s="6">
        <v>-1.3277399999999999</v>
      </c>
      <c r="BZ2" s="6">
        <v>-1.41753</v>
      </c>
      <c r="CA2" s="6">
        <v>-1.51752</v>
      </c>
      <c r="CB2" s="6">
        <v>-1.6283799999999999</v>
      </c>
      <c r="CC2" s="6">
        <v>-1.7505299999999999</v>
      </c>
      <c r="CD2" s="6">
        <v>-1.8841000000000001</v>
      </c>
      <c r="CE2" s="6">
        <v>-2.0289100000000002</v>
      </c>
      <c r="CF2" s="6">
        <v>-2.1844800000000002</v>
      </c>
      <c r="CG2" s="6">
        <v>-2.3501500000000002</v>
      </c>
      <c r="CH2" s="6">
        <v>-2.5250699999999999</v>
      </c>
      <c r="CI2" s="6">
        <v>-2.7083599999999999</v>
      </c>
      <c r="CJ2" s="6">
        <v>-2.89907</v>
      </c>
      <c r="CK2" s="6">
        <v>-3.0963099999999999</v>
      </c>
      <c r="CL2" s="6">
        <v>-3.29921</v>
      </c>
      <c r="CM2" s="6">
        <v>-3.5070299999999999</v>
      </c>
      <c r="CN2" s="6">
        <v>-3.71902</v>
      </c>
      <c r="CO2" s="6">
        <v>-3.71902</v>
      </c>
      <c r="CP2" s="6">
        <v>-3.9345300000000001</v>
      </c>
      <c r="CQ2" s="6">
        <v>-4.1530100000000001</v>
      </c>
      <c r="CR2" s="6">
        <v>-4.3739400000000002</v>
      </c>
      <c r="CS2" s="6">
        <v>-4.59687</v>
      </c>
      <c r="CT2" s="6">
        <v>-4.8214100000000002</v>
      </c>
      <c r="CU2" s="6">
        <v>-5.04718</v>
      </c>
      <c r="CV2" s="6">
        <v>-5.2738899999999997</v>
      </c>
      <c r="CW2" s="6">
        <v>-5.5012400000000001</v>
      </c>
      <c r="CX2" s="6">
        <v>-5.7289899999999996</v>
      </c>
      <c r="CY2" s="6">
        <v>-5.9569099999999997</v>
      </c>
      <c r="CZ2" s="6">
        <v>-6.1848000000000001</v>
      </c>
      <c r="DA2" s="6">
        <v>-6.41249</v>
      </c>
      <c r="DB2" s="6">
        <v>-6.6398000000000001</v>
      </c>
      <c r="DC2" s="6">
        <v>-6.8666099999999997</v>
      </c>
      <c r="DD2" s="6">
        <v>-7.0927699999999998</v>
      </c>
      <c r="DE2" s="6">
        <v>-7.3181799999999999</v>
      </c>
      <c r="DF2" s="6">
        <v>-7.5427200000000001</v>
      </c>
      <c r="DG2" s="6">
        <v>-7.7663200000000003</v>
      </c>
      <c r="DH2" s="6">
        <v>-7.98888</v>
      </c>
      <c r="DI2" s="6">
        <v>-8.2103400000000004</v>
      </c>
      <c r="DJ2" s="6">
        <v>-8.4306400000000004</v>
      </c>
      <c r="DK2" s="6">
        <v>-8.6497100000000007</v>
      </c>
      <c r="DL2" s="6">
        <v>-8.8675300000000004</v>
      </c>
      <c r="DM2" s="6">
        <v>-9.0840300000000003</v>
      </c>
      <c r="DN2" s="6">
        <v>-9.2992000000000008</v>
      </c>
      <c r="DO2" s="6">
        <v>-9.5130099999999995</v>
      </c>
      <c r="DP2" s="30">
        <v>-9.7254299999999994</v>
      </c>
      <c r="DQ2" s="30">
        <v>-9.9364299999999997</v>
      </c>
      <c r="DR2" s="30">
        <v>-10.14602</v>
      </c>
      <c r="DS2" s="30">
        <v>-10.354179999999999</v>
      </c>
      <c r="DT2" s="30">
        <v>-10.5609</v>
      </c>
      <c r="DU2" s="30">
        <v>-10.76618</v>
      </c>
      <c r="DV2" s="30">
        <v>-10.97001</v>
      </c>
      <c r="DW2" s="30">
        <v>-11.17239</v>
      </c>
      <c r="DX2" s="30">
        <v>-11.373340000000001</v>
      </c>
      <c r="DY2" s="30">
        <v>-11.572839999999999</v>
      </c>
      <c r="DZ2" s="30">
        <v>-11.77092</v>
      </c>
      <c r="EA2" s="30">
        <v>-11.96757</v>
      </c>
      <c r="EB2" s="30">
        <v>-12.162800000000001</v>
      </c>
      <c r="EC2" s="30">
        <v>-12.356629999999999</v>
      </c>
      <c r="ED2" s="30">
        <v>-12.548999999999999</v>
      </c>
      <c r="EE2" s="30">
        <v>-12.7401</v>
      </c>
      <c r="EF2" s="30">
        <v>-12.92977</v>
      </c>
      <c r="EG2" s="30">
        <v>-13.118080000000001</v>
      </c>
      <c r="EH2" s="30">
        <v>-13.30504</v>
      </c>
      <c r="EI2" s="30">
        <v>-13.49066</v>
      </c>
      <c r="EJ2" s="30">
        <v>-13.674950000000001</v>
      </c>
      <c r="EK2" s="30">
        <v>-13.857939999999999</v>
      </c>
      <c r="EL2" s="30">
        <v>-14.039630000000001</v>
      </c>
      <c r="EM2" s="30">
        <v>-14.220039999999999</v>
      </c>
      <c r="EN2" s="30">
        <v>-14.399179999999999</v>
      </c>
      <c r="EO2" s="30">
        <v>-14.577059999999999</v>
      </c>
      <c r="EP2" s="30">
        <v>-14.7537</v>
      </c>
      <c r="EQ2" s="30">
        <v>-14.929119999999999</v>
      </c>
      <c r="ER2" s="30">
        <v>-15.10332</v>
      </c>
      <c r="ES2" s="30">
        <v>-15.27632</v>
      </c>
      <c r="ET2" s="30">
        <v>-15.448130000000001</v>
      </c>
      <c r="EU2" s="30">
        <v>-15.618779999999999</v>
      </c>
      <c r="EV2" s="30">
        <v>-15.788259999999999</v>
      </c>
      <c r="EW2" s="30">
        <v>-15.9566</v>
      </c>
      <c r="EX2" s="30">
        <v>-16.123799999999999</v>
      </c>
      <c r="EY2" s="30">
        <v>-16.28989</v>
      </c>
      <c r="EZ2" s="30">
        <v>-16.45487</v>
      </c>
      <c r="FA2" s="30">
        <v>-16.618749999999999</v>
      </c>
      <c r="FB2" s="30">
        <v>-16.781559999999999</v>
      </c>
      <c r="FC2" s="30">
        <v>-16.943290000000001</v>
      </c>
      <c r="FD2" s="30">
        <v>-17.10397</v>
      </c>
      <c r="FE2" s="30">
        <v>-17.26361</v>
      </c>
      <c r="FF2" s="30">
        <v>-17.42221</v>
      </c>
      <c r="FG2" s="30">
        <v>-17.579789999999999</v>
      </c>
      <c r="FH2" s="30">
        <v>-17.736360000000001</v>
      </c>
      <c r="FI2" s="30">
        <v>-17.891929999999999</v>
      </c>
      <c r="FJ2" s="30">
        <v>-18.046520000000001</v>
      </c>
      <c r="FK2" s="30">
        <v>-18.200130000000001</v>
      </c>
      <c r="FL2" s="30">
        <v>-18.352779999999999</v>
      </c>
      <c r="FM2" s="30">
        <v>-18.504470000000001</v>
      </c>
      <c r="FN2" s="30">
        <v>-18.65522</v>
      </c>
      <c r="FO2" s="30">
        <v>-18.805040000000002</v>
      </c>
      <c r="FP2" s="30">
        <v>-18.95393</v>
      </c>
      <c r="FQ2" s="30">
        <v>-19.10191</v>
      </c>
      <c r="FR2" s="30">
        <v>-19.24898</v>
      </c>
      <c r="FS2" s="30">
        <v>-19.39517</v>
      </c>
      <c r="FT2" s="30">
        <v>-19.540459999999999</v>
      </c>
      <c r="FU2" s="30">
        <v>-19.684889999999999</v>
      </c>
      <c r="FV2" s="30">
        <v>-19.82845</v>
      </c>
      <c r="FW2" s="30">
        <v>-19.971150000000002</v>
      </c>
      <c r="FX2" s="30">
        <v>-20.113</v>
      </c>
      <c r="FY2" s="30">
        <v>-20.254020000000001</v>
      </c>
      <c r="FZ2" s="30">
        <v>-20.394200000000001</v>
      </c>
      <c r="GA2" s="30">
        <v>-20.533560000000001</v>
      </c>
    </row>
    <row r="3" spans="1:183" ht="15" x14ac:dyDescent="0.3">
      <c r="A3" s="10">
        <v>0.99950000000000006</v>
      </c>
      <c r="B3" s="6">
        <v>-0.22222</v>
      </c>
      <c r="C3" s="6">
        <v>-0.22472</v>
      </c>
      <c r="D3" s="6">
        <v>-0.22727</v>
      </c>
      <c r="E3" s="6">
        <v>-0.22989000000000001</v>
      </c>
      <c r="F3" s="6">
        <v>-0.23255999999999999</v>
      </c>
      <c r="G3" s="6">
        <v>-0.23529</v>
      </c>
      <c r="H3" s="6">
        <v>-0.23810000000000001</v>
      </c>
      <c r="I3" s="6">
        <v>-0.24096000000000001</v>
      </c>
      <c r="J3" s="6">
        <v>-0.24390000000000001</v>
      </c>
      <c r="K3" s="6">
        <v>-0.24690999999999999</v>
      </c>
      <c r="L3" s="6">
        <v>-0.25</v>
      </c>
      <c r="M3" s="6">
        <v>-0.25316</v>
      </c>
      <c r="N3" s="6">
        <v>-0.25641000000000003</v>
      </c>
      <c r="O3" s="6">
        <v>-0.25974000000000003</v>
      </c>
      <c r="P3" s="6">
        <v>-0.26316000000000001</v>
      </c>
      <c r="Q3" s="6">
        <v>-0.26667000000000002</v>
      </c>
      <c r="R3" s="6">
        <v>-0.27027000000000001</v>
      </c>
      <c r="S3" s="6">
        <v>-0.27396999999999999</v>
      </c>
      <c r="T3" s="6">
        <v>-0.27778000000000003</v>
      </c>
      <c r="U3" s="6">
        <v>-0.28169</v>
      </c>
      <c r="V3" s="6">
        <v>-0.28571000000000002</v>
      </c>
      <c r="W3" s="6">
        <v>-0.28986000000000001</v>
      </c>
      <c r="X3" s="6">
        <v>-0.29411999999999999</v>
      </c>
      <c r="Y3" s="6">
        <v>-0.29851</v>
      </c>
      <c r="Z3" s="6">
        <v>-0.30303000000000002</v>
      </c>
      <c r="AA3" s="6">
        <v>-0.30769000000000002</v>
      </c>
      <c r="AB3" s="6">
        <v>-0.3125</v>
      </c>
      <c r="AC3" s="6">
        <v>-0.31746000000000002</v>
      </c>
      <c r="AD3" s="6">
        <v>-0.32257999999999998</v>
      </c>
      <c r="AE3" s="6">
        <v>-0.32786999999999999</v>
      </c>
      <c r="AF3" s="6">
        <v>-0.33333000000000002</v>
      </c>
      <c r="AG3" s="6">
        <v>-0.33898</v>
      </c>
      <c r="AH3" s="6">
        <v>-0.34483000000000003</v>
      </c>
      <c r="AI3" s="6">
        <v>-0.35088000000000003</v>
      </c>
      <c r="AJ3" s="6">
        <v>-0.35714000000000001</v>
      </c>
      <c r="AK3" s="6">
        <v>-0.36364000000000002</v>
      </c>
      <c r="AL3" s="6">
        <v>-0.37036999999999998</v>
      </c>
      <c r="AM3" s="6">
        <v>-0.37735999999999997</v>
      </c>
      <c r="AN3" s="6">
        <v>-0.38462000000000002</v>
      </c>
      <c r="AO3" s="6">
        <v>-0.39216000000000001</v>
      </c>
      <c r="AP3" s="6">
        <v>-0.4</v>
      </c>
      <c r="AQ3" s="6">
        <v>-0.40816000000000002</v>
      </c>
      <c r="AR3" s="6">
        <v>-0.41666999999999998</v>
      </c>
      <c r="AS3" s="6">
        <v>-0.42553000000000002</v>
      </c>
      <c r="AT3" s="6">
        <v>-0.43478</v>
      </c>
      <c r="AU3" s="6">
        <v>-0.44444</v>
      </c>
      <c r="AV3" s="6">
        <v>-0.45455000000000001</v>
      </c>
      <c r="AW3" s="6">
        <v>-0.46511999999999998</v>
      </c>
      <c r="AX3" s="6">
        <v>-0.47619</v>
      </c>
      <c r="AY3" s="6">
        <v>-0.48780000000000001</v>
      </c>
      <c r="AZ3" s="6">
        <v>-0.5</v>
      </c>
      <c r="BA3" s="6">
        <v>-0.51282000000000005</v>
      </c>
      <c r="BB3" s="6">
        <v>-0.52632000000000001</v>
      </c>
      <c r="BC3" s="6">
        <v>-0.54054000000000002</v>
      </c>
      <c r="BD3" s="6">
        <v>-0.55556000000000005</v>
      </c>
      <c r="BE3" s="6">
        <v>-0.57142999999999999</v>
      </c>
      <c r="BF3" s="6">
        <v>-0.58823999999999999</v>
      </c>
      <c r="BG3" s="6">
        <v>-0.60606000000000004</v>
      </c>
      <c r="BH3" s="6">
        <v>-0.625</v>
      </c>
      <c r="BI3" s="6">
        <v>-0.64515999999999996</v>
      </c>
      <c r="BJ3" s="6">
        <v>-0.66666999999999998</v>
      </c>
      <c r="BK3" s="6">
        <v>-0.68966000000000005</v>
      </c>
      <c r="BL3" s="6">
        <v>-0.71428999999999998</v>
      </c>
      <c r="BM3" s="6">
        <v>-0.74073999999999995</v>
      </c>
      <c r="BN3" s="6">
        <v>-0.76922999999999997</v>
      </c>
      <c r="BO3" s="6">
        <v>-0.79998999999999998</v>
      </c>
      <c r="BP3" s="6">
        <v>-0.83331</v>
      </c>
      <c r="BQ3" s="6">
        <v>-0.86951999999999996</v>
      </c>
      <c r="BR3" s="6">
        <v>-0.90898999999999996</v>
      </c>
      <c r="BS3" s="6">
        <v>-0.95215000000000005</v>
      </c>
      <c r="BT3" s="6">
        <v>-0.99950000000000006</v>
      </c>
      <c r="BU3" s="6">
        <v>-1.05159</v>
      </c>
      <c r="BV3" s="6">
        <v>-1.1090100000000001</v>
      </c>
      <c r="BW3" s="6">
        <v>-1.1724000000000001</v>
      </c>
      <c r="BX3" s="6">
        <v>-1.2423500000000001</v>
      </c>
      <c r="BY3" s="6">
        <v>-1.3194399999999999</v>
      </c>
      <c r="BZ3" s="6">
        <v>-1.4041300000000001</v>
      </c>
      <c r="CA3" s="6">
        <v>-1.4967299999999999</v>
      </c>
      <c r="CB3" s="6">
        <v>-1.59738</v>
      </c>
      <c r="CC3" s="6">
        <v>-1.7060299999999999</v>
      </c>
      <c r="CD3" s="6">
        <v>-1.8224100000000001</v>
      </c>
      <c r="CE3" s="6">
        <v>-1.94611</v>
      </c>
      <c r="CF3" s="6">
        <v>-2.0766100000000001</v>
      </c>
      <c r="CG3" s="6">
        <v>-2.2132800000000001</v>
      </c>
      <c r="CH3" s="6">
        <v>-2.3554900000000001</v>
      </c>
      <c r="CI3" s="6">
        <v>-2.50257</v>
      </c>
      <c r="CJ3" s="6">
        <v>-2.6539000000000001</v>
      </c>
      <c r="CK3" s="6">
        <v>-2.8088899999999999</v>
      </c>
      <c r="CL3" s="6">
        <v>-2.96698</v>
      </c>
      <c r="CM3" s="6">
        <v>-3.1276700000000002</v>
      </c>
      <c r="CN3" s="6">
        <v>-3.29053</v>
      </c>
      <c r="CO3" s="6">
        <v>-3.29053</v>
      </c>
      <c r="CP3" s="6">
        <v>-3.45513</v>
      </c>
      <c r="CQ3" s="6">
        <v>-3.62113</v>
      </c>
      <c r="CR3" s="6">
        <v>-3.7881999999999998</v>
      </c>
      <c r="CS3" s="6">
        <v>-3.9560499999999998</v>
      </c>
      <c r="CT3" s="6">
        <v>-4.1244300000000003</v>
      </c>
      <c r="CU3" s="6">
        <v>-4.2931100000000004</v>
      </c>
      <c r="CV3" s="6">
        <v>-4.4618900000000004</v>
      </c>
      <c r="CW3" s="6">
        <v>-4.6305699999999996</v>
      </c>
      <c r="CX3" s="6">
        <v>-4.7989899999999999</v>
      </c>
      <c r="CY3" s="6">
        <v>-4.9670100000000001</v>
      </c>
      <c r="CZ3" s="6">
        <v>-5.1344900000000004</v>
      </c>
      <c r="DA3" s="6">
        <v>-5.3013000000000003</v>
      </c>
      <c r="DB3" s="6">
        <v>-5.4673499999999997</v>
      </c>
      <c r="DC3" s="6">
        <v>-5.6325200000000004</v>
      </c>
      <c r="DD3" s="6">
        <v>-5.7967300000000002</v>
      </c>
      <c r="DE3" s="6">
        <v>-5.9599000000000002</v>
      </c>
      <c r="DF3" s="6">
        <v>-6.1219599999999996</v>
      </c>
      <c r="DG3" s="6">
        <v>-6.2828499999999998</v>
      </c>
      <c r="DH3" s="6">
        <v>-6.4425100000000004</v>
      </c>
      <c r="DI3" s="6">
        <v>-6.6009000000000002</v>
      </c>
      <c r="DJ3" s="6">
        <v>-6.7579799999999999</v>
      </c>
      <c r="DK3" s="6">
        <v>-6.9137000000000004</v>
      </c>
      <c r="DL3" s="6">
        <v>-7.0680399999999999</v>
      </c>
      <c r="DM3" s="6">
        <v>-7.22098</v>
      </c>
      <c r="DN3" s="6">
        <v>-7.3724999999999996</v>
      </c>
      <c r="DO3" s="6">
        <v>-7.5225799999999996</v>
      </c>
      <c r="DP3" s="6">
        <v>-7.6712100000000003</v>
      </c>
      <c r="DQ3" s="6">
        <v>-7.81839</v>
      </c>
      <c r="DR3" s="6">
        <v>-7.9641099999999998</v>
      </c>
      <c r="DS3" s="6">
        <v>-8.1083599999999993</v>
      </c>
      <c r="DT3" s="6">
        <v>-8.2511500000000009</v>
      </c>
      <c r="DU3" s="6">
        <v>-8.3924800000000008</v>
      </c>
      <c r="DV3" s="6">
        <v>-8.5323600000000006</v>
      </c>
      <c r="DW3" s="6">
        <v>-8.6707900000000002</v>
      </c>
      <c r="DX3" s="6">
        <v>-8.8077900000000007</v>
      </c>
      <c r="DY3" s="6">
        <v>-8.9433500000000006</v>
      </c>
      <c r="DZ3" s="6">
        <v>-9.0775000000000006</v>
      </c>
      <c r="EA3" s="30">
        <v>-9.2102299999999993</v>
      </c>
      <c r="EB3" s="30">
        <v>-9.3415800000000004</v>
      </c>
      <c r="EC3" s="30">
        <v>-9.4715399999999992</v>
      </c>
      <c r="ED3" s="30">
        <v>-9.6001300000000001</v>
      </c>
      <c r="EE3" s="30">
        <v>-9.7273700000000005</v>
      </c>
      <c r="EF3" s="30">
        <v>-9.8532600000000006</v>
      </c>
      <c r="EG3" s="30">
        <v>-9.9778400000000005</v>
      </c>
      <c r="EH3" s="30">
        <v>-10.101100000000001</v>
      </c>
      <c r="EI3" s="30">
        <v>-10.22307</v>
      </c>
      <c r="EJ3" s="30">
        <v>-10.34375</v>
      </c>
      <c r="EK3" s="30">
        <v>-10.463179999999999</v>
      </c>
      <c r="EL3" s="30">
        <v>-10.58135</v>
      </c>
      <c r="EM3" s="30">
        <v>-10.69829</v>
      </c>
      <c r="EN3" s="30">
        <v>-10.81401</v>
      </c>
      <c r="EO3" s="30">
        <v>-10.92853</v>
      </c>
      <c r="EP3" s="30">
        <v>-11.04186</v>
      </c>
      <c r="EQ3" s="30">
        <v>-11.154019999999999</v>
      </c>
      <c r="ER3" s="30">
        <v>-11.26502</v>
      </c>
      <c r="ES3" s="30">
        <v>-11.37487</v>
      </c>
      <c r="ET3" s="30">
        <v>-11.483599999999999</v>
      </c>
      <c r="EU3" s="30">
        <v>-11.59122</v>
      </c>
      <c r="EV3" s="30">
        <v>-11.69773</v>
      </c>
      <c r="EW3" s="30">
        <v>-11.80316</v>
      </c>
      <c r="EX3" s="30">
        <v>-11.90752</v>
      </c>
      <c r="EY3" s="30">
        <v>-12.010820000000001</v>
      </c>
      <c r="EZ3" s="30">
        <v>-12.11307</v>
      </c>
      <c r="FA3" s="30">
        <v>-12.21429</v>
      </c>
      <c r="FB3" s="30">
        <v>-12.314500000000001</v>
      </c>
      <c r="FC3" s="30">
        <v>-12.4137</v>
      </c>
      <c r="FD3" s="30">
        <v>-12.511900000000001</v>
      </c>
      <c r="FE3" s="30">
        <v>-12.60913</v>
      </c>
      <c r="FF3" s="30">
        <v>-12.70539</v>
      </c>
      <c r="FG3" s="30">
        <v>-12.800689999999999</v>
      </c>
      <c r="FH3" s="30">
        <v>-12.895049999999999</v>
      </c>
      <c r="FI3" s="30">
        <v>-12.988479999999999</v>
      </c>
      <c r="FJ3" s="30">
        <v>-13.08098</v>
      </c>
      <c r="FK3" s="30">
        <v>-13.17258</v>
      </c>
      <c r="FL3" s="30">
        <v>-13.26328</v>
      </c>
      <c r="FM3" s="30">
        <v>-13.35309</v>
      </c>
      <c r="FN3" s="30">
        <v>-13.442019999999999</v>
      </c>
      <c r="FO3" s="30">
        <v>-13.53009</v>
      </c>
      <c r="FP3" s="30">
        <v>-13.6173</v>
      </c>
      <c r="FQ3" s="30">
        <v>-13.703659999999999</v>
      </c>
      <c r="FR3" s="30">
        <v>-13.78919</v>
      </c>
      <c r="FS3" s="30">
        <v>-13.873889999999999</v>
      </c>
      <c r="FT3" s="30">
        <v>-13.95778</v>
      </c>
      <c r="FU3" s="30">
        <v>-14.04086</v>
      </c>
      <c r="FV3" s="30">
        <v>-14.123139999999999</v>
      </c>
      <c r="FW3" s="30">
        <v>-14.20463</v>
      </c>
      <c r="FX3" s="30">
        <v>-14.28534</v>
      </c>
      <c r="FY3" s="30">
        <v>-14.36528</v>
      </c>
      <c r="FZ3" s="30">
        <v>-14.444459999999999</v>
      </c>
      <c r="GA3" s="30">
        <v>-14.522880000000001</v>
      </c>
    </row>
    <row r="4" spans="1:183" ht="15" x14ac:dyDescent="0.3">
      <c r="A4" s="10">
        <v>0.999</v>
      </c>
      <c r="B4" s="6">
        <v>-0.22222</v>
      </c>
      <c r="C4" s="6">
        <v>-0.22472</v>
      </c>
      <c r="D4" s="6">
        <v>-0.22727</v>
      </c>
      <c r="E4" s="6">
        <v>-0.22989000000000001</v>
      </c>
      <c r="F4" s="6">
        <v>-0.23255999999999999</v>
      </c>
      <c r="G4" s="6">
        <v>-0.23529</v>
      </c>
      <c r="H4" s="6">
        <v>-0.23810000000000001</v>
      </c>
      <c r="I4" s="6">
        <v>-0.24096000000000001</v>
      </c>
      <c r="J4" s="6">
        <v>-0.24390000000000001</v>
      </c>
      <c r="K4" s="6">
        <v>-0.24690999999999999</v>
      </c>
      <c r="L4" s="6">
        <v>-0.25</v>
      </c>
      <c r="M4" s="6">
        <v>-0.25316</v>
      </c>
      <c r="N4" s="6">
        <v>-0.25641000000000003</v>
      </c>
      <c r="O4" s="6">
        <v>-0.25974000000000003</v>
      </c>
      <c r="P4" s="6">
        <v>-0.26316000000000001</v>
      </c>
      <c r="Q4" s="6">
        <v>-0.26667000000000002</v>
      </c>
      <c r="R4" s="6">
        <v>-0.27027000000000001</v>
      </c>
      <c r="S4" s="6">
        <v>-0.27396999999999999</v>
      </c>
      <c r="T4" s="6">
        <v>-0.27778000000000003</v>
      </c>
      <c r="U4" s="6">
        <v>-0.28169</v>
      </c>
      <c r="V4" s="6">
        <v>-0.28571000000000002</v>
      </c>
      <c r="W4" s="6">
        <v>-0.28986000000000001</v>
      </c>
      <c r="X4" s="6">
        <v>-0.29411999999999999</v>
      </c>
      <c r="Y4" s="6">
        <v>-0.29851</v>
      </c>
      <c r="Z4" s="6">
        <v>-0.30303000000000002</v>
      </c>
      <c r="AA4" s="6">
        <v>-0.30769000000000002</v>
      </c>
      <c r="AB4" s="6">
        <v>-0.3125</v>
      </c>
      <c r="AC4" s="6">
        <v>-0.31746000000000002</v>
      </c>
      <c r="AD4" s="6">
        <v>-0.32257999999999998</v>
      </c>
      <c r="AE4" s="6">
        <v>-0.32786999999999999</v>
      </c>
      <c r="AF4" s="6">
        <v>-0.33333000000000002</v>
      </c>
      <c r="AG4" s="6">
        <v>-0.33898</v>
      </c>
      <c r="AH4" s="6">
        <v>-0.34483000000000003</v>
      </c>
      <c r="AI4" s="6">
        <v>-0.35088000000000003</v>
      </c>
      <c r="AJ4" s="6">
        <v>-0.35714000000000001</v>
      </c>
      <c r="AK4" s="6">
        <v>-0.36364000000000002</v>
      </c>
      <c r="AL4" s="6">
        <v>-0.37036999999999998</v>
      </c>
      <c r="AM4" s="6">
        <v>-0.37735999999999997</v>
      </c>
      <c r="AN4" s="6">
        <v>-0.38462000000000002</v>
      </c>
      <c r="AO4" s="6">
        <v>-0.39216000000000001</v>
      </c>
      <c r="AP4" s="6">
        <v>-0.4</v>
      </c>
      <c r="AQ4" s="6">
        <v>-0.40816000000000002</v>
      </c>
      <c r="AR4" s="6">
        <v>-0.41666999999999998</v>
      </c>
      <c r="AS4" s="6">
        <v>-0.42553000000000002</v>
      </c>
      <c r="AT4" s="6">
        <v>-0.43478</v>
      </c>
      <c r="AU4" s="6">
        <v>-0.44444</v>
      </c>
      <c r="AV4" s="6">
        <v>-0.45455000000000001</v>
      </c>
      <c r="AW4" s="6">
        <v>-0.46511999999999998</v>
      </c>
      <c r="AX4" s="6">
        <v>-0.47619</v>
      </c>
      <c r="AY4" s="6">
        <v>-0.48780000000000001</v>
      </c>
      <c r="AZ4" s="6">
        <v>-0.5</v>
      </c>
      <c r="BA4" s="6">
        <v>-0.51282000000000005</v>
      </c>
      <c r="BB4" s="6">
        <v>-0.52632000000000001</v>
      </c>
      <c r="BC4" s="6">
        <v>-0.54054000000000002</v>
      </c>
      <c r="BD4" s="6">
        <v>-0.55556000000000005</v>
      </c>
      <c r="BE4" s="6">
        <v>-0.57142999999999999</v>
      </c>
      <c r="BF4" s="6">
        <v>-0.58823999999999999</v>
      </c>
      <c r="BG4" s="6">
        <v>-0.60606000000000004</v>
      </c>
      <c r="BH4" s="6">
        <v>-0.625</v>
      </c>
      <c r="BI4" s="6">
        <v>-0.64515999999999996</v>
      </c>
      <c r="BJ4" s="6">
        <v>-0.66666999999999998</v>
      </c>
      <c r="BK4" s="6">
        <v>-0.68964999999999999</v>
      </c>
      <c r="BL4" s="6">
        <v>-0.71428000000000003</v>
      </c>
      <c r="BM4" s="6">
        <v>-0.74073999999999995</v>
      </c>
      <c r="BN4" s="6">
        <v>-0.76922000000000001</v>
      </c>
      <c r="BO4" s="6">
        <v>-0.79998000000000002</v>
      </c>
      <c r="BP4" s="6">
        <v>-0.83328000000000002</v>
      </c>
      <c r="BQ4" s="6">
        <v>-0.86944999999999995</v>
      </c>
      <c r="BR4" s="6">
        <v>-0.90885000000000005</v>
      </c>
      <c r="BS4" s="6">
        <v>-0.95187999999999995</v>
      </c>
      <c r="BT4" s="6">
        <v>-0.999</v>
      </c>
      <c r="BU4" s="6">
        <v>-1.0506800000000001</v>
      </c>
      <c r="BV4" s="6">
        <v>-1.1074299999999999</v>
      </c>
      <c r="BW4" s="6">
        <v>-1.16974</v>
      </c>
      <c r="BX4" s="6">
        <v>-1.2380500000000001</v>
      </c>
      <c r="BY4" s="6">
        <v>-1.3127500000000001</v>
      </c>
      <c r="BZ4" s="6">
        <v>-1.39408</v>
      </c>
      <c r="CA4" s="6">
        <v>-1.4821599999999999</v>
      </c>
      <c r="CB4" s="6">
        <v>-1.5769500000000001</v>
      </c>
      <c r="CC4" s="6">
        <v>-1.67825</v>
      </c>
      <c r="CD4" s="6">
        <v>-1.78572</v>
      </c>
      <c r="CE4" s="6">
        <v>-1.8989400000000001</v>
      </c>
      <c r="CF4" s="6">
        <v>-2.0173899999999998</v>
      </c>
      <c r="CG4" s="6">
        <v>-2.14053</v>
      </c>
      <c r="CH4" s="6">
        <v>-2.2677999999999998</v>
      </c>
      <c r="CI4" s="6">
        <v>-2.3986700000000001</v>
      </c>
      <c r="CJ4" s="6">
        <v>-2.53261</v>
      </c>
      <c r="CK4" s="6">
        <v>-2.6691500000000001</v>
      </c>
      <c r="CL4" s="6">
        <v>-2.8078599999999998</v>
      </c>
      <c r="CM4" s="6">
        <v>-2.94834</v>
      </c>
      <c r="CN4" s="6">
        <v>-3.09023</v>
      </c>
      <c r="CO4" s="6">
        <v>-3.09023</v>
      </c>
      <c r="CP4" s="6">
        <v>-3.2332200000000002</v>
      </c>
      <c r="CQ4" s="6">
        <v>-3.37703</v>
      </c>
      <c r="CR4" s="6">
        <v>-3.5213899999999998</v>
      </c>
      <c r="CS4" s="6">
        <v>-3.66608</v>
      </c>
      <c r="CT4" s="6">
        <v>-3.8109000000000002</v>
      </c>
      <c r="CU4" s="6">
        <v>-3.95567</v>
      </c>
      <c r="CV4" s="6">
        <v>-4.1002200000000002</v>
      </c>
      <c r="CW4" s="6">
        <v>-4.2443900000000001</v>
      </c>
      <c r="CX4" s="6">
        <v>-4.3880699999999999</v>
      </c>
      <c r="CY4" s="6">
        <v>-4.5311199999999996</v>
      </c>
      <c r="CZ4" s="6">
        <v>-4.6734400000000003</v>
      </c>
      <c r="DA4" s="6">
        <v>-4.8149199999999999</v>
      </c>
      <c r="DB4" s="6">
        <v>-4.9554900000000002</v>
      </c>
      <c r="DC4" s="6">
        <v>-5.0950499999999996</v>
      </c>
      <c r="DD4" s="6">
        <v>-5.23353</v>
      </c>
      <c r="DE4" s="6">
        <v>-5.37087</v>
      </c>
      <c r="DF4" s="6">
        <v>-5.5070100000000002</v>
      </c>
      <c r="DG4" s="6">
        <v>-5.6418999999999997</v>
      </c>
      <c r="DH4" s="6">
        <v>-5.7754899999999996</v>
      </c>
      <c r="DI4" s="6">
        <v>-5.9077599999999997</v>
      </c>
      <c r="DJ4" s="6">
        <v>-6.0386499999999996</v>
      </c>
      <c r="DK4" s="6">
        <v>-6.1681600000000003</v>
      </c>
      <c r="DL4" s="6">
        <v>-6.2962600000000002</v>
      </c>
      <c r="DM4" s="6">
        <v>-6.4229200000000004</v>
      </c>
      <c r="DN4" s="6">
        <v>-6.5481400000000001</v>
      </c>
      <c r="DO4" s="6">
        <v>-6.6719099999999996</v>
      </c>
      <c r="DP4" s="6">
        <v>-6.7942099999999996</v>
      </c>
      <c r="DQ4" s="6">
        <v>-6.9150499999999999</v>
      </c>
      <c r="DR4" s="6">
        <v>-7.0344300000000004</v>
      </c>
      <c r="DS4" s="6">
        <v>-7.1523500000000002</v>
      </c>
      <c r="DT4" s="6">
        <v>-7.2688100000000002</v>
      </c>
      <c r="DU4" s="6">
        <v>-7.3838200000000001</v>
      </c>
      <c r="DV4" s="6">
        <v>-7.4973900000000002</v>
      </c>
      <c r="DW4" s="6">
        <v>-7.6095300000000003</v>
      </c>
      <c r="DX4" s="6">
        <v>-7.7202400000000004</v>
      </c>
      <c r="DY4" s="6">
        <v>-7.8295399999999997</v>
      </c>
      <c r="DZ4" s="6">
        <v>-7.9374399999999996</v>
      </c>
      <c r="EA4" s="6">
        <v>-8.0439500000000006</v>
      </c>
      <c r="EB4" s="6">
        <v>-8.1491000000000007</v>
      </c>
      <c r="EC4" s="6">
        <v>-8.2528900000000007</v>
      </c>
      <c r="ED4" s="6">
        <v>-8.35534</v>
      </c>
      <c r="EE4" s="6">
        <v>-8.4564599999999999</v>
      </c>
      <c r="EF4" s="6">
        <v>-8.5562699999999996</v>
      </c>
      <c r="EG4" s="6">
        <v>-8.6547900000000002</v>
      </c>
      <c r="EH4" s="6">
        <v>-8.7520199999999999</v>
      </c>
      <c r="EI4" s="6">
        <v>-8.8480000000000008</v>
      </c>
      <c r="EJ4" s="6">
        <v>-8.9427299999999992</v>
      </c>
      <c r="EK4" s="6">
        <v>-9.0362299999999998</v>
      </c>
      <c r="EL4" s="6">
        <v>-9.12852</v>
      </c>
      <c r="EM4" s="6">
        <v>-9.2196099999999994</v>
      </c>
      <c r="EN4" s="6">
        <v>-9.3095199999999991</v>
      </c>
      <c r="EO4" s="6">
        <v>-9.3982700000000001</v>
      </c>
      <c r="EP4" s="6">
        <v>-9.4858600000000006</v>
      </c>
      <c r="EQ4" s="6">
        <v>-9.5723199999999995</v>
      </c>
      <c r="ER4" s="6">
        <v>-9.6576599999999999</v>
      </c>
      <c r="ES4" s="30">
        <v>-9.7418999999999993</v>
      </c>
      <c r="ET4" s="30">
        <v>-9.8250499999999992</v>
      </c>
      <c r="EU4" s="30">
        <v>-9.9071300000000004</v>
      </c>
      <c r="EV4" s="30">
        <v>-9.9881499999999992</v>
      </c>
      <c r="EW4" s="30">
        <v>-10.06812</v>
      </c>
      <c r="EX4" s="30">
        <v>-10.14706</v>
      </c>
      <c r="EY4" s="30">
        <v>-10.22499</v>
      </c>
      <c r="EZ4" s="30">
        <v>-10.301920000000001</v>
      </c>
      <c r="FA4" s="30">
        <v>-10.37785</v>
      </c>
      <c r="FB4" s="30">
        <v>-10.452809999999999</v>
      </c>
      <c r="FC4" s="30">
        <v>-10.526809999999999</v>
      </c>
      <c r="FD4" s="30">
        <v>-10.59986</v>
      </c>
      <c r="FE4" s="30">
        <v>-10.67197</v>
      </c>
      <c r="FF4" s="30">
        <v>-10.74316</v>
      </c>
      <c r="FG4" s="30">
        <v>-10.81343</v>
      </c>
      <c r="FH4" s="30">
        <v>-10.882809999999999</v>
      </c>
      <c r="FI4" s="30">
        <v>-10.95129</v>
      </c>
      <c r="FJ4" s="30">
        <v>-11.0189</v>
      </c>
      <c r="FK4" s="30">
        <v>-11.085649999999999</v>
      </c>
      <c r="FL4" s="30">
        <v>-11.151540000000001</v>
      </c>
      <c r="FM4" s="30">
        <v>-11.21658</v>
      </c>
      <c r="FN4" s="30">
        <v>-11.280799999999999</v>
      </c>
      <c r="FO4" s="30">
        <v>-11.344189999999999</v>
      </c>
      <c r="FP4" s="30">
        <v>-11.40677</v>
      </c>
      <c r="FQ4" s="30">
        <v>-11.46855</v>
      </c>
      <c r="FR4" s="30">
        <v>-11.529529999999999</v>
      </c>
      <c r="FS4" s="30">
        <v>-11.589740000000001</v>
      </c>
      <c r="FT4" s="30">
        <v>-11.64917</v>
      </c>
      <c r="FU4" s="30">
        <v>-11.707850000000001</v>
      </c>
      <c r="FV4" s="30">
        <v>-11.76576</v>
      </c>
      <c r="FW4" s="30">
        <v>-11.822939999999999</v>
      </c>
      <c r="FX4" s="30">
        <v>-11.879379999999999</v>
      </c>
      <c r="FY4" s="30">
        <v>-11.935090000000001</v>
      </c>
      <c r="FZ4" s="30">
        <v>-11.99009</v>
      </c>
      <c r="GA4" s="30">
        <v>-12.044370000000001</v>
      </c>
    </row>
    <row r="5" spans="1:183" ht="15" x14ac:dyDescent="0.3">
      <c r="A5" s="10">
        <v>0.998</v>
      </c>
      <c r="B5" s="6">
        <v>-0.22222</v>
      </c>
      <c r="C5" s="6">
        <v>-0.22472</v>
      </c>
      <c r="D5" s="6">
        <v>-0.22727</v>
      </c>
      <c r="E5" s="6">
        <v>-0.22989000000000001</v>
      </c>
      <c r="F5" s="6">
        <v>-0.23255999999999999</v>
      </c>
      <c r="G5" s="6">
        <v>-0.23529</v>
      </c>
      <c r="H5" s="6">
        <v>-0.23810000000000001</v>
      </c>
      <c r="I5" s="6">
        <v>-0.24096000000000001</v>
      </c>
      <c r="J5" s="6">
        <v>-0.24390000000000001</v>
      </c>
      <c r="K5" s="6">
        <v>-0.24690999999999999</v>
      </c>
      <c r="L5" s="6">
        <v>-0.25</v>
      </c>
      <c r="M5" s="6">
        <v>-0.25316</v>
      </c>
      <c r="N5" s="6">
        <v>-0.25641000000000003</v>
      </c>
      <c r="O5" s="6">
        <v>-0.25974000000000003</v>
      </c>
      <c r="P5" s="6">
        <v>-0.26316000000000001</v>
      </c>
      <c r="Q5" s="6">
        <v>-0.26667000000000002</v>
      </c>
      <c r="R5" s="6">
        <v>-0.27027000000000001</v>
      </c>
      <c r="S5" s="6">
        <v>-0.27396999999999999</v>
      </c>
      <c r="T5" s="6">
        <v>-0.27778000000000003</v>
      </c>
      <c r="U5" s="6">
        <v>-0.28169</v>
      </c>
      <c r="V5" s="6">
        <v>-0.28571000000000002</v>
      </c>
      <c r="W5" s="6">
        <v>-0.28986000000000001</v>
      </c>
      <c r="X5" s="6">
        <v>-0.29411999999999999</v>
      </c>
      <c r="Y5" s="6">
        <v>-0.29851</v>
      </c>
      <c r="Z5" s="6">
        <v>-0.30303000000000002</v>
      </c>
      <c r="AA5" s="6">
        <v>-0.30769000000000002</v>
      </c>
      <c r="AB5" s="6">
        <v>-0.3125</v>
      </c>
      <c r="AC5" s="6">
        <v>-0.31746000000000002</v>
      </c>
      <c r="AD5" s="6">
        <v>-0.32257999999999998</v>
      </c>
      <c r="AE5" s="6">
        <v>-0.32786999999999999</v>
      </c>
      <c r="AF5" s="6">
        <v>-0.33333000000000002</v>
      </c>
      <c r="AG5" s="6">
        <v>-0.33898</v>
      </c>
      <c r="AH5" s="6">
        <v>-0.34483000000000003</v>
      </c>
      <c r="AI5" s="6">
        <v>-0.35088000000000003</v>
      </c>
      <c r="AJ5" s="6">
        <v>-0.35714000000000001</v>
      </c>
      <c r="AK5" s="6">
        <v>-0.36364000000000002</v>
      </c>
      <c r="AL5" s="6">
        <v>-0.37036999999999998</v>
      </c>
      <c r="AM5" s="6">
        <v>-0.37735999999999997</v>
      </c>
      <c r="AN5" s="6">
        <v>-0.38462000000000002</v>
      </c>
      <c r="AO5" s="6">
        <v>-0.39216000000000001</v>
      </c>
      <c r="AP5" s="6">
        <v>-0.4</v>
      </c>
      <c r="AQ5" s="6">
        <v>-0.40816000000000002</v>
      </c>
      <c r="AR5" s="6">
        <v>-0.41666999999999998</v>
      </c>
      <c r="AS5" s="6">
        <v>-0.42553000000000002</v>
      </c>
      <c r="AT5" s="6">
        <v>-0.43478</v>
      </c>
      <c r="AU5" s="6">
        <v>-0.44444</v>
      </c>
      <c r="AV5" s="6">
        <v>-0.45455000000000001</v>
      </c>
      <c r="AW5" s="6">
        <v>-0.46511999999999998</v>
      </c>
      <c r="AX5" s="6">
        <v>-0.47619</v>
      </c>
      <c r="AY5" s="6">
        <v>-0.48780000000000001</v>
      </c>
      <c r="AZ5" s="6">
        <v>-0.5</v>
      </c>
      <c r="BA5" s="6">
        <v>-0.51282000000000005</v>
      </c>
      <c r="BB5" s="6">
        <v>-0.52632000000000001</v>
      </c>
      <c r="BC5" s="6">
        <v>-0.54054000000000002</v>
      </c>
      <c r="BD5" s="6">
        <v>-0.55556000000000005</v>
      </c>
      <c r="BE5" s="6">
        <v>-0.57142999999999999</v>
      </c>
      <c r="BF5" s="6">
        <v>-0.58823999999999999</v>
      </c>
      <c r="BG5" s="6">
        <v>-0.60606000000000004</v>
      </c>
      <c r="BH5" s="6">
        <v>-0.625</v>
      </c>
      <c r="BI5" s="6">
        <v>-0.64515999999999996</v>
      </c>
      <c r="BJ5" s="6">
        <v>-0.66666999999999998</v>
      </c>
      <c r="BK5" s="6">
        <v>-0.68964999999999999</v>
      </c>
      <c r="BL5" s="6">
        <v>-0.71428000000000003</v>
      </c>
      <c r="BM5" s="6">
        <v>-0.74073</v>
      </c>
      <c r="BN5" s="6">
        <v>-0.76919999999999999</v>
      </c>
      <c r="BO5" s="6">
        <v>-0.79993999999999998</v>
      </c>
      <c r="BP5" s="6">
        <v>-0.83320000000000005</v>
      </c>
      <c r="BQ5" s="6">
        <v>-0.86929000000000001</v>
      </c>
      <c r="BR5" s="6">
        <v>-0.90854000000000001</v>
      </c>
      <c r="BS5" s="6">
        <v>-0.95130999999999999</v>
      </c>
      <c r="BT5" s="6">
        <v>-0.998</v>
      </c>
      <c r="BU5" s="6">
        <v>-1.04898</v>
      </c>
      <c r="BV5" s="6">
        <v>-1.1046499999999999</v>
      </c>
      <c r="BW5" s="6">
        <v>-1.16534</v>
      </c>
      <c r="BX5" s="6">
        <v>-1.23132</v>
      </c>
      <c r="BY5" s="6">
        <v>-1.3027899999999999</v>
      </c>
      <c r="BZ5" s="6">
        <v>-1.37981</v>
      </c>
      <c r="CA5" s="6">
        <v>-1.4623200000000001</v>
      </c>
      <c r="CB5" s="6">
        <v>-1.55016</v>
      </c>
      <c r="CC5" s="6">
        <v>-1.6430499999999999</v>
      </c>
      <c r="CD5" s="6">
        <v>-1.7406200000000001</v>
      </c>
      <c r="CE5" s="6">
        <v>-1.8424400000000001</v>
      </c>
      <c r="CF5" s="6">
        <v>-1.9480599999999999</v>
      </c>
      <c r="CG5" s="6">
        <v>-2.05701</v>
      </c>
      <c r="CH5" s="6">
        <v>-2.1688399999999999</v>
      </c>
      <c r="CI5" s="6">
        <v>-2.2831100000000002</v>
      </c>
      <c r="CJ5" s="6">
        <v>-2.3994200000000001</v>
      </c>
      <c r="CK5" s="6">
        <v>-2.5174099999999999</v>
      </c>
      <c r="CL5" s="6">
        <v>-2.63672</v>
      </c>
      <c r="CM5" s="6">
        <v>-2.7570600000000001</v>
      </c>
      <c r="CN5" s="6">
        <v>-2.8781599999999998</v>
      </c>
      <c r="CO5" s="6">
        <v>-2.8781599999999998</v>
      </c>
      <c r="CP5" s="6">
        <v>-2.9997799999999999</v>
      </c>
      <c r="CQ5" s="6">
        <v>-3.1216900000000001</v>
      </c>
      <c r="CR5" s="6">
        <v>-3.2437100000000001</v>
      </c>
      <c r="CS5" s="6">
        <v>-3.3656600000000001</v>
      </c>
      <c r="CT5" s="6">
        <v>-3.4873699999999999</v>
      </c>
      <c r="CU5" s="6">
        <v>-3.6087199999999999</v>
      </c>
      <c r="CV5" s="6">
        <v>-3.7295699999999998</v>
      </c>
      <c r="CW5" s="6">
        <v>-3.8498100000000002</v>
      </c>
      <c r="CX5" s="6">
        <v>-3.9693200000000002</v>
      </c>
      <c r="CY5" s="6">
        <v>-4.0880200000000002</v>
      </c>
      <c r="CZ5" s="6">
        <v>-4.2058200000000001</v>
      </c>
      <c r="DA5" s="6">
        <v>-4.3226300000000002</v>
      </c>
      <c r="DB5" s="6">
        <v>-4.4383900000000001</v>
      </c>
      <c r="DC5" s="30">
        <v>-4.5530400000000002</v>
      </c>
      <c r="DD5" s="30">
        <v>-4.6665099999999997</v>
      </c>
      <c r="DE5" s="30">
        <v>-4.7787499999999996</v>
      </c>
      <c r="DF5" s="30">
        <v>-4.88971</v>
      </c>
      <c r="DG5" s="30">
        <v>-4.9993699999999999</v>
      </c>
      <c r="DH5" s="30">
        <v>-5.1076800000000002</v>
      </c>
      <c r="DI5" s="30">
        <v>-5.2146100000000004</v>
      </c>
      <c r="DJ5" s="30">
        <v>-5.3201400000000003</v>
      </c>
      <c r="DK5" s="30">
        <v>-5.4242600000000003</v>
      </c>
      <c r="DL5" s="30">
        <v>-5.5269399999999997</v>
      </c>
      <c r="DM5" s="30">
        <v>-5.6281800000000004</v>
      </c>
      <c r="DN5" s="30">
        <v>-5.7279600000000004</v>
      </c>
      <c r="DO5" s="30">
        <v>-5.8262900000000002</v>
      </c>
      <c r="DP5" s="30">
        <v>-5.9231600000000002</v>
      </c>
      <c r="DQ5" s="30">
        <v>-6.01858</v>
      </c>
      <c r="DR5" s="30">
        <v>-6.1125400000000001</v>
      </c>
      <c r="DS5" s="30">
        <v>-6.2050599999999996</v>
      </c>
      <c r="DT5" s="30">
        <v>-6.2961299999999998</v>
      </c>
      <c r="DU5" s="30">
        <v>-6.3857799999999996</v>
      </c>
      <c r="DV5" s="30">
        <v>-6.4740099999999998</v>
      </c>
      <c r="DW5" s="30">
        <v>-6.5608399999999998</v>
      </c>
      <c r="DX5" s="30">
        <v>-6.6462700000000003</v>
      </c>
      <c r="DY5" s="30">
        <v>-6.7303199999999999</v>
      </c>
      <c r="DZ5" s="30">
        <v>-6.8130100000000002</v>
      </c>
      <c r="EA5" s="30">
        <v>-6.8943500000000002</v>
      </c>
      <c r="EB5" s="30">
        <v>-6.9743500000000003</v>
      </c>
      <c r="EC5" s="30">
        <v>-7.0530400000000002</v>
      </c>
      <c r="ED5" s="30">
        <v>-7.1304299999999996</v>
      </c>
      <c r="EE5" s="30">
        <v>-7.2065400000000004</v>
      </c>
      <c r="EF5" s="30">
        <v>-7.2813800000000004</v>
      </c>
      <c r="EG5" s="30">
        <v>-7.3549699999999998</v>
      </c>
      <c r="EH5" s="30">
        <v>-7.4273300000000004</v>
      </c>
      <c r="EI5" s="30">
        <v>-7.4984700000000002</v>
      </c>
      <c r="EJ5" s="30">
        <v>-7.5684199999999997</v>
      </c>
      <c r="EK5" s="30">
        <v>-7.6371799999999999</v>
      </c>
      <c r="EL5" s="30">
        <v>-7.70479</v>
      </c>
      <c r="EM5" s="30">
        <v>-7.7712399999999997</v>
      </c>
      <c r="EN5" s="30">
        <v>-7.83657</v>
      </c>
      <c r="EO5" s="30">
        <v>-7.9007800000000001</v>
      </c>
      <c r="EP5" s="30">
        <v>-7.9638999999999998</v>
      </c>
      <c r="EQ5" s="30">
        <v>-8.0259400000000003</v>
      </c>
      <c r="ER5" s="30">
        <v>-8.0869099999999996</v>
      </c>
      <c r="ES5" s="30">
        <v>-8.1468299999999996</v>
      </c>
      <c r="ET5" s="30">
        <v>-8.2057199999999995</v>
      </c>
      <c r="EU5" s="30">
        <v>-8.2635900000000007</v>
      </c>
      <c r="EV5" s="30">
        <v>-8.3204600000000006</v>
      </c>
      <c r="EW5" s="30">
        <v>-8.3763400000000008</v>
      </c>
      <c r="EX5" s="30">
        <v>-8.4312500000000004</v>
      </c>
      <c r="EY5" s="30">
        <v>-8.4851899999999993</v>
      </c>
      <c r="EZ5" s="30">
        <v>-8.5381999999999998</v>
      </c>
      <c r="FA5" s="30">
        <v>-8.5902700000000003</v>
      </c>
      <c r="FB5" s="30">
        <v>-8.6414200000000001</v>
      </c>
      <c r="FC5" s="30">
        <v>-8.6916700000000002</v>
      </c>
      <c r="FD5" s="30">
        <v>-8.7410200000000007</v>
      </c>
      <c r="FE5" s="30">
        <v>-8.7895000000000003</v>
      </c>
      <c r="FF5" s="30">
        <v>-8.8371099999999991</v>
      </c>
      <c r="FG5" s="30">
        <v>-8.8838699999999999</v>
      </c>
      <c r="FH5" s="30">
        <v>-8.9297900000000006</v>
      </c>
      <c r="FI5" s="30">
        <v>-8.9748800000000006</v>
      </c>
      <c r="FJ5" s="30">
        <v>-9.0191499999999998</v>
      </c>
      <c r="FK5" s="30">
        <v>-9.0626099999999994</v>
      </c>
      <c r="FL5" s="30">
        <v>-9.1052800000000005</v>
      </c>
      <c r="FM5" s="30">
        <v>-9.1471699999999991</v>
      </c>
      <c r="FN5" s="30">
        <v>-9.1882800000000007</v>
      </c>
      <c r="FO5" s="30">
        <v>-9.2286300000000008</v>
      </c>
      <c r="FP5" s="30">
        <v>-9.2682300000000009</v>
      </c>
      <c r="FQ5" s="30">
        <v>-9.3070900000000005</v>
      </c>
      <c r="FR5" s="30">
        <v>-9.3452099999999998</v>
      </c>
      <c r="FS5" s="30">
        <v>-9.3826199999999993</v>
      </c>
      <c r="FT5" s="30">
        <v>-9.4193099999999994</v>
      </c>
      <c r="FU5" s="30">
        <v>-9.4552999999999994</v>
      </c>
      <c r="FV5" s="30">
        <v>-9.4906000000000006</v>
      </c>
      <c r="FW5" s="30">
        <v>-9.5252099999999995</v>
      </c>
      <c r="FX5" s="30">
        <v>-9.5591500000000007</v>
      </c>
      <c r="FY5" s="30">
        <v>-9.5924300000000002</v>
      </c>
      <c r="FZ5" s="30">
        <v>-9.6250400000000003</v>
      </c>
      <c r="GA5" s="30">
        <v>-9.6570099999999996</v>
      </c>
    </row>
    <row r="6" spans="1:183" ht="15" x14ac:dyDescent="0.3">
      <c r="A6" s="10">
        <v>0.995</v>
      </c>
      <c r="B6" s="6">
        <v>-0.22222</v>
      </c>
      <c r="C6" s="6">
        <v>-0.22472</v>
      </c>
      <c r="D6" s="6">
        <v>-0.22727</v>
      </c>
      <c r="E6" s="6">
        <v>-0.22989000000000001</v>
      </c>
      <c r="F6" s="6">
        <v>-0.23255999999999999</v>
      </c>
      <c r="G6" s="6">
        <v>-0.23529</v>
      </c>
      <c r="H6" s="6">
        <v>-0.23810000000000001</v>
      </c>
      <c r="I6" s="6">
        <v>-0.24096000000000001</v>
      </c>
      <c r="J6" s="6">
        <v>-0.24390000000000001</v>
      </c>
      <c r="K6" s="6">
        <v>-0.24690999999999999</v>
      </c>
      <c r="L6" s="6">
        <v>-0.25</v>
      </c>
      <c r="M6" s="6">
        <v>-0.25316</v>
      </c>
      <c r="N6" s="6">
        <v>-0.25641000000000003</v>
      </c>
      <c r="O6" s="6">
        <v>-0.25974000000000003</v>
      </c>
      <c r="P6" s="6">
        <v>-0.26316000000000001</v>
      </c>
      <c r="Q6" s="6">
        <v>-0.26667000000000002</v>
      </c>
      <c r="R6" s="6">
        <v>-0.27027000000000001</v>
      </c>
      <c r="S6" s="6">
        <v>-0.27396999999999999</v>
      </c>
      <c r="T6" s="6">
        <v>-0.27778000000000003</v>
      </c>
      <c r="U6" s="6">
        <v>-0.28169</v>
      </c>
      <c r="V6" s="6">
        <v>-0.28571000000000002</v>
      </c>
      <c r="W6" s="6">
        <v>-0.28986000000000001</v>
      </c>
      <c r="X6" s="6">
        <v>-0.29411999999999999</v>
      </c>
      <c r="Y6" s="6">
        <v>-0.29851</v>
      </c>
      <c r="Z6" s="6">
        <v>-0.30303000000000002</v>
      </c>
      <c r="AA6" s="6">
        <v>-0.30769000000000002</v>
      </c>
      <c r="AB6" s="6">
        <v>-0.3125</v>
      </c>
      <c r="AC6" s="6">
        <v>-0.31746000000000002</v>
      </c>
      <c r="AD6" s="6">
        <v>-0.32257999999999998</v>
      </c>
      <c r="AE6" s="6">
        <v>-0.32786999999999999</v>
      </c>
      <c r="AF6" s="6">
        <v>-0.33333000000000002</v>
      </c>
      <c r="AG6" s="6">
        <v>-0.33898</v>
      </c>
      <c r="AH6" s="6">
        <v>-0.34483000000000003</v>
      </c>
      <c r="AI6" s="6">
        <v>-0.35088000000000003</v>
      </c>
      <c r="AJ6" s="6">
        <v>-0.35714000000000001</v>
      </c>
      <c r="AK6" s="6">
        <v>-0.36364000000000002</v>
      </c>
      <c r="AL6" s="6">
        <v>-0.37036999999999998</v>
      </c>
      <c r="AM6" s="6">
        <v>-0.37735999999999997</v>
      </c>
      <c r="AN6" s="6">
        <v>-0.38462000000000002</v>
      </c>
      <c r="AO6" s="6">
        <v>-0.39216000000000001</v>
      </c>
      <c r="AP6" s="6">
        <v>-0.4</v>
      </c>
      <c r="AQ6" s="6">
        <v>-0.40816000000000002</v>
      </c>
      <c r="AR6" s="6">
        <v>-0.41666999999999998</v>
      </c>
      <c r="AS6" s="6">
        <v>-0.42553000000000002</v>
      </c>
      <c r="AT6" s="6">
        <v>-0.43478</v>
      </c>
      <c r="AU6" s="6">
        <v>-0.44444</v>
      </c>
      <c r="AV6" s="6">
        <v>-0.45455000000000001</v>
      </c>
      <c r="AW6" s="6">
        <v>-0.46511999999999998</v>
      </c>
      <c r="AX6" s="6">
        <v>-0.47619</v>
      </c>
      <c r="AY6" s="6">
        <v>-0.48780000000000001</v>
      </c>
      <c r="AZ6" s="6">
        <v>-0.5</v>
      </c>
      <c r="BA6" s="6">
        <v>-0.51282000000000005</v>
      </c>
      <c r="BB6" s="6">
        <v>-0.52632000000000001</v>
      </c>
      <c r="BC6" s="6">
        <v>-0.54054000000000002</v>
      </c>
      <c r="BD6" s="6">
        <v>-0.55556000000000005</v>
      </c>
      <c r="BE6" s="6">
        <v>-0.57142999999999999</v>
      </c>
      <c r="BF6" s="6">
        <v>-0.58823999999999999</v>
      </c>
      <c r="BG6" s="6">
        <v>-0.60606000000000004</v>
      </c>
      <c r="BH6" s="6">
        <v>-0.625</v>
      </c>
      <c r="BI6" s="6">
        <v>-0.64515999999999996</v>
      </c>
      <c r="BJ6" s="6">
        <v>-0.66666000000000003</v>
      </c>
      <c r="BK6" s="6">
        <v>-0.68964000000000003</v>
      </c>
      <c r="BL6" s="6">
        <v>-0.71425000000000005</v>
      </c>
      <c r="BM6" s="6">
        <v>-0.74067000000000005</v>
      </c>
      <c r="BN6" s="6">
        <v>-0.76909000000000005</v>
      </c>
      <c r="BO6" s="6">
        <v>-0.79973000000000005</v>
      </c>
      <c r="BP6" s="6">
        <v>-0.83282999999999996</v>
      </c>
      <c r="BQ6" s="6">
        <v>-0.86863000000000001</v>
      </c>
      <c r="BR6" s="6">
        <v>-0.90742</v>
      </c>
      <c r="BS6" s="6">
        <v>-0.94945000000000002</v>
      </c>
      <c r="BT6" s="6">
        <v>-0.99499000000000004</v>
      </c>
      <c r="BU6" s="6">
        <v>-1.04427</v>
      </c>
      <c r="BV6" s="6">
        <v>-1.0974900000000001</v>
      </c>
      <c r="BW6" s="6">
        <v>-1.1547700000000001</v>
      </c>
      <c r="BX6" s="6">
        <v>-1.21618</v>
      </c>
      <c r="BY6" s="6">
        <v>-1.2816700000000001</v>
      </c>
      <c r="BZ6" s="6">
        <v>-1.35114</v>
      </c>
      <c r="CA6" s="6">
        <v>-1.42439</v>
      </c>
      <c r="CB6" s="6">
        <v>-1.5011399999999999</v>
      </c>
      <c r="CC6" s="6">
        <v>-1.5810999999999999</v>
      </c>
      <c r="CD6" s="6">
        <v>-1.6638999999999999</v>
      </c>
      <c r="CE6" s="6">
        <v>-1.74919</v>
      </c>
      <c r="CF6" s="6">
        <v>-1.8366</v>
      </c>
      <c r="CG6" s="6">
        <v>-1.9258</v>
      </c>
      <c r="CH6" s="6">
        <v>-2.0164399999999998</v>
      </c>
      <c r="CI6" s="6">
        <v>-2.10825</v>
      </c>
      <c r="CJ6" s="6">
        <v>-2.20092</v>
      </c>
      <c r="CK6" s="6">
        <v>-2.2942300000000002</v>
      </c>
      <c r="CL6" s="6">
        <v>-2.38795</v>
      </c>
      <c r="CM6" s="6">
        <v>-2.4818699999999998</v>
      </c>
      <c r="CN6" s="6">
        <v>-2.5758299999999998</v>
      </c>
      <c r="CO6" s="6">
        <v>-2.5758299999999998</v>
      </c>
      <c r="CP6" s="6">
        <v>-2.6696499999999999</v>
      </c>
      <c r="CQ6" s="6">
        <v>-2.7632099999999999</v>
      </c>
      <c r="CR6" s="6">
        <v>-2.85636</v>
      </c>
      <c r="CS6" s="6">
        <v>-2.9489999999999998</v>
      </c>
      <c r="CT6" s="6">
        <v>-3.0410200000000001</v>
      </c>
      <c r="CU6" s="6">
        <v>-3.13232</v>
      </c>
      <c r="CV6" s="6">
        <v>-3.22281</v>
      </c>
      <c r="CW6" s="6">
        <v>-3.31243</v>
      </c>
      <c r="CX6" s="6">
        <v>-3.4010899999999999</v>
      </c>
      <c r="CY6" s="6">
        <v>-3.48874</v>
      </c>
      <c r="CZ6" s="6">
        <v>-3.5752999999999999</v>
      </c>
      <c r="DA6" s="6">
        <v>-3.66073</v>
      </c>
      <c r="DB6" s="6">
        <v>-3.7449699999999999</v>
      </c>
      <c r="DC6" s="6">
        <v>-3.8279800000000002</v>
      </c>
      <c r="DD6" s="6">
        <v>-3.9097300000000001</v>
      </c>
      <c r="DE6" s="6">
        <v>-3.9901599999999999</v>
      </c>
      <c r="DF6" s="6">
        <v>-4.0692599999999999</v>
      </c>
      <c r="DG6" s="6">
        <v>-4.1470000000000002</v>
      </c>
      <c r="DH6" s="6">
        <v>-4.2233599999999996</v>
      </c>
      <c r="DI6" s="6">
        <v>-4.2983200000000004</v>
      </c>
      <c r="DJ6" s="6">
        <v>-4.3718599999999999</v>
      </c>
      <c r="DK6" s="6">
        <v>-4.4439799999999998</v>
      </c>
      <c r="DL6" s="6">
        <v>-4.5146699999999997</v>
      </c>
      <c r="DM6" s="6">
        <v>-4.5839299999999996</v>
      </c>
      <c r="DN6" s="6">
        <v>-4.6517600000000003</v>
      </c>
      <c r="DO6" s="6">
        <v>-4.7181499999999996</v>
      </c>
      <c r="DP6" s="6">
        <v>-4.7831299999999999</v>
      </c>
      <c r="DQ6" s="6">
        <v>-4.8466899999999997</v>
      </c>
      <c r="DR6" s="6">
        <v>-4.9088399999999996</v>
      </c>
      <c r="DS6" s="6">
        <v>-4.9695900000000002</v>
      </c>
      <c r="DT6" s="6">
        <v>-5.0289700000000002</v>
      </c>
      <c r="DU6" s="6">
        <v>-5.08697</v>
      </c>
      <c r="DV6" s="6">
        <v>-5.1436200000000003</v>
      </c>
      <c r="DW6" s="6">
        <v>-5.1989200000000002</v>
      </c>
      <c r="DX6" s="6">
        <v>-5.25291</v>
      </c>
      <c r="DY6" s="6">
        <v>-5.3055899999999996</v>
      </c>
      <c r="DZ6" s="6">
        <v>-5.3569800000000001</v>
      </c>
      <c r="EA6" s="6">
        <v>-5.4071100000000003</v>
      </c>
      <c r="EB6" s="6">
        <v>-5.4559800000000003</v>
      </c>
      <c r="EC6" s="6">
        <v>-5.5036199999999997</v>
      </c>
      <c r="ED6" s="6">
        <v>-5.5500499999999997</v>
      </c>
      <c r="EE6" s="6">
        <v>-5.5952799999999998</v>
      </c>
      <c r="EF6" s="6">
        <v>-5.6393399999999998</v>
      </c>
      <c r="EG6" s="6">
        <v>-5.6822400000000002</v>
      </c>
      <c r="EH6" s="6">
        <v>-5.7240000000000002</v>
      </c>
      <c r="EI6" s="6">
        <v>-5.76464</v>
      </c>
      <c r="EJ6" s="6">
        <v>-5.8041799999999997</v>
      </c>
      <c r="EK6" s="6">
        <v>-5.8426499999999999</v>
      </c>
      <c r="EL6" s="6">
        <v>-5.8800400000000002</v>
      </c>
      <c r="EM6" s="6">
        <v>-5.9163899999999998</v>
      </c>
      <c r="EN6" s="6">
        <v>-5.9517100000000003</v>
      </c>
      <c r="EO6" s="6">
        <v>-5.9860199999999999</v>
      </c>
      <c r="EP6" s="6">
        <v>-6.0193399999999997</v>
      </c>
      <c r="EQ6" s="6">
        <v>-6.0516899999999998</v>
      </c>
      <c r="ER6" s="6">
        <v>-6.0830700000000002</v>
      </c>
      <c r="ES6" s="6">
        <v>-6.1135099999999998</v>
      </c>
      <c r="ET6" s="6">
        <v>-6.1430199999999999</v>
      </c>
      <c r="EU6" s="6">
        <v>-6.1716199999999999</v>
      </c>
      <c r="EV6" s="6">
        <v>-6.1993299999999998</v>
      </c>
      <c r="EW6" s="6">
        <v>-6.2261600000000001</v>
      </c>
      <c r="EX6" s="6">
        <v>-6.2521199999999997</v>
      </c>
      <c r="EY6" s="6">
        <v>-6.2772300000000003</v>
      </c>
      <c r="EZ6" s="6">
        <v>-6.3015100000000004</v>
      </c>
      <c r="FA6" s="6">
        <v>-6.3249700000000004</v>
      </c>
      <c r="FB6" s="6">
        <v>-6.34762</v>
      </c>
      <c r="FC6" s="6">
        <v>-6.3694800000000003</v>
      </c>
      <c r="FD6" s="6">
        <v>-6.3905500000000002</v>
      </c>
      <c r="FE6" s="6">
        <v>-6.4108599999999996</v>
      </c>
      <c r="FF6" s="6">
        <v>-6.4304199999999998</v>
      </c>
      <c r="FG6" s="6">
        <v>-6.4492399999999996</v>
      </c>
      <c r="FH6" s="6">
        <v>-6.4673299999999996</v>
      </c>
      <c r="FI6" s="6">
        <v>-6.4847000000000001</v>
      </c>
      <c r="FJ6" s="6">
        <v>-6.5013699999999996</v>
      </c>
      <c r="FK6" s="6">
        <v>-6.5173500000000004</v>
      </c>
      <c r="FL6" s="6">
        <v>-6.5326399999999998</v>
      </c>
      <c r="FM6" s="6">
        <v>-6.5472700000000001</v>
      </c>
      <c r="FN6" s="6">
        <v>-6.5612399999999997</v>
      </c>
      <c r="FO6" s="6">
        <v>-6.57456</v>
      </c>
      <c r="FP6" s="6">
        <v>-6.58725</v>
      </c>
      <c r="FQ6" s="6">
        <v>-6.59931</v>
      </c>
      <c r="FR6" s="6">
        <v>-6.6107500000000003</v>
      </c>
      <c r="FS6" s="6">
        <v>-6.6215900000000003</v>
      </c>
      <c r="FT6" s="6">
        <v>-6.6318299999999999</v>
      </c>
      <c r="FU6" s="6">
        <v>-6.6414799999999996</v>
      </c>
      <c r="FV6" s="6">
        <v>-6.6505599999999996</v>
      </c>
      <c r="FW6" s="6">
        <v>-6.6590699999999998</v>
      </c>
      <c r="FX6" s="6">
        <v>-6.6670299999999996</v>
      </c>
      <c r="FY6" s="6">
        <v>-6.6744300000000001</v>
      </c>
      <c r="FZ6" s="6">
        <v>-6.6813000000000002</v>
      </c>
      <c r="GA6" s="6">
        <v>-6.6876300000000004</v>
      </c>
    </row>
    <row r="7" spans="1:183" ht="15" x14ac:dyDescent="0.3">
      <c r="A7" s="10">
        <v>0.99</v>
      </c>
      <c r="B7" s="6">
        <v>-0.22222</v>
      </c>
      <c r="C7" s="6">
        <v>-0.22472</v>
      </c>
      <c r="D7" s="6">
        <v>-0.22727</v>
      </c>
      <c r="E7" s="6">
        <v>-0.22989000000000001</v>
      </c>
      <c r="F7" s="6">
        <v>-0.23255999999999999</v>
      </c>
      <c r="G7" s="6">
        <v>-0.23529</v>
      </c>
      <c r="H7" s="6">
        <v>-0.23810000000000001</v>
      </c>
      <c r="I7" s="6">
        <v>-0.24096000000000001</v>
      </c>
      <c r="J7" s="6">
        <v>-0.24390000000000001</v>
      </c>
      <c r="K7" s="6">
        <v>-0.24690999999999999</v>
      </c>
      <c r="L7" s="6">
        <v>-0.25</v>
      </c>
      <c r="M7" s="6">
        <v>-0.25316</v>
      </c>
      <c r="N7" s="6">
        <v>-0.25641000000000003</v>
      </c>
      <c r="O7" s="6">
        <v>-0.25974000000000003</v>
      </c>
      <c r="P7" s="6">
        <v>-0.26316000000000001</v>
      </c>
      <c r="Q7" s="6">
        <v>-0.26667000000000002</v>
      </c>
      <c r="R7" s="6">
        <v>-0.27027000000000001</v>
      </c>
      <c r="S7" s="6">
        <v>-0.27396999999999999</v>
      </c>
      <c r="T7" s="6">
        <v>-0.27778000000000003</v>
      </c>
      <c r="U7" s="6">
        <v>-0.28169</v>
      </c>
      <c r="V7" s="6">
        <v>-0.28571000000000002</v>
      </c>
      <c r="W7" s="6">
        <v>-0.28986000000000001</v>
      </c>
      <c r="X7" s="6">
        <v>-0.29411999999999999</v>
      </c>
      <c r="Y7" s="6">
        <v>-0.29851</v>
      </c>
      <c r="Z7" s="6">
        <v>-0.30303000000000002</v>
      </c>
      <c r="AA7" s="6">
        <v>-0.30769000000000002</v>
      </c>
      <c r="AB7" s="6">
        <v>-0.3125</v>
      </c>
      <c r="AC7" s="6">
        <v>-0.31746000000000002</v>
      </c>
      <c r="AD7" s="6">
        <v>-0.32257999999999998</v>
      </c>
      <c r="AE7" s="6">
        <v>-0.32786999999999999</v>
      </c>
      <c r="AF7" s="6">
        <v>-0.33333000000000002</v>
      </c>
      <c r="AG7" s="6">
        <v>-0.33898</v>
      </c>
      <c r="AH7" s="6">
        <v>-0.34483000000000003</v>
      </c>
      <c r="AI7" s="6">
        <v>-0.35088000000000003</v>
      </c>
      <c r="AJ7" s="6">
        <v>-0.35714000000000001</v>
      </c>
      <c r="AK7" s="6">
        <v>-0.36364000000000002</v>
      </c>
      <c r="AL7" s="6">
        <v>-0.37036999999999998</v>
      </c>
      <c r="AM7" s="6">
        <v>-0.37735999999999997</v>
      </c>
      <c r="AN7" s="6">
        <v>-0.38462000000000002</v>
      </c>
      <c r="AO7" s="6">
        <v>-0.39216000000000001</v>
      </c>
      <c r="AP7" s="6">
        <v>-0.4</v>
      </c>
      <c r="AQ7" s="6">
        <v>-0.40816000000000002</v>
      </c>
      <c r="AR7" s="6">
        <v>-0.41666999999999998</v>
      </c>
      <c r="AS7" s="6">
        <v>-0.42553000000000002</v>
      </c>
      <c r="AT7" s="6">
        <v>-0.43478</v>
      </c>
      <c r="AU7" s="6">
        <v>-0.44444</v>
      </c>
      <c r="AV7" s="6">
        <v>-0.45455000000000001</v>
      </c>
      <c r="AW7" s="6">
        <v>-0.46511999999999998</v>
      </c>
      <c r="AX7" s="6">
        <v>-0.47619</v>
      </c>
      <c r="AY7" s="6">
        <v>-0.48780000000000001</v>
      </c>
      <c r="AZ7" s="6">
        <v>-0.5</v>
      </c>
      <c r="BA7" s="6">
        <v>-0.51282000000000005</v>
      </c>
      <c r="BB7" s="6">
        <v>-0.52632000000000001</v>
      </c>
      <c r="BC7" s="6">
        <v>-0.54054000000000002</v>
      </c>
      <c r="BD7" s="6">
        <v>-0.55556000000000005</v>
      </c>
      <c r="BE7" s="6">
        <v>-0.57142999999999999</v>
      </c>
      <c r="BF7" s="6">
        <v>-0.58823000000000003</v>
      </c>
      <c r="BG7" s="6">
        <v>-0.60606000000000004</v>
      </c>
      <c r="BH7" s="6">
        <v>-0.62499000000000005</v>
      </c>
      <c r="BI7" s="6">
        <v>-0.64514000000000005</v>
      </c>
      <c r="BJ7" s="6">
        <v>-0.66662999999999994</v>
      </c>
      <c r="BK7" s="6">
        <v>-0.68959000000000004</v>
      </c>
      <c r="BL7" s="6">
        <v>-0.71414999999999995</v>
      </c>
      <c r="BM7" s="6">
        <v>-0.74048999999999998</v>
      </c>
      <c r="BN7" s="6">
        <v>-0.76878000000000002</v>
      </c>
      <c r="BO7" s="6">
        <v>-0.79920999999999998</v>
      </c>
      <c r="BP7" s="6">
        <v>-0.83196000000000003</v>
      </c>
      <c r="BQ7" s="6">
        <v>-0.86722999999999995</v>
      </c>
      <c r="BR7" s="6">
        <v>-0.90520999999999996</v>
      </c>
      <c r="BS7" s="6">
        <v>-0.94606999999999997</v>
      </c>
      <c r="BT7" s="6">
        <v>-0.98995</v>
      </c>
      <c r="BU7" s="6">
        <v>-1.03695</v>
      </c>
      <c r="BV7" s="6">
        <v>-1.08711</v>
      </c>
      <c r="BW7" s="6">
        <v>-1.14042</v>
      </c>
      <c r="BX7" s="6">
        <v>-1.1968000000000001</v>
      </c>
      <c r="BY7" s="6">
        <v>-1.2561100000000001</v>
      </c>
      <c r="BZ7" s="6">
        <v>-1.3181499999999999</v>
      </c>
      <c r="CA7" s="6">
        <v>-1.3826700000000001</v>
      </c>
      <c r="CB7" s="6">
        <v>-1.4494199999999999</v>
      </c>
      <c r="CC7" s="6">
        <v>-1.5180800000000001</v>
      </c>
      <c r="CD7" s="6">
        <v>-1.5883799999999999</v>
      </c>
      <c r="CE7" s="6">
        <v>-1.66001</v>
      </c>
      <c r="CF7" s="6">
        <v>-1.73271</v>
      </c>
      <c r="CG7" s="6">
        <v>-1.8062100000000001</v>
      </c>
      <c r="CH7" s="6">
        <v>-1.88029</v>
      </c>
      <c r="CI7" s="6">
        <v>-1.95472</v>
      </c>
      <c r="CJ7" s="6">
        <v>-2.0293299999999999</v>
      </c>
      <c r="CK7" s="6">
        <v>-2.1039400000000001</v>
      </c>
      <c r="CL7" s="6">
        <v>-2.1783999999999999</v>
      </c>
      <c r="CM7" s="6">
        <v>-2.25258</v>
      </c>
      <c r="CN7" s="6">
        <v>-2.3263500000000001</v>
      </c>
      <c r="CO7" s="6">
        <v>-2.3263500000000001</v>
      </c>
      <c r="CP7" s="6">
        <v>-2.39961</v>
      </c>
      <c r="CQ7" s="6">
        <v>-2.4722599999999999</v>
      </c>
      <c r="CR7" s="6">
        <v>-2.5442100000000001</v>
      </c>
      <c r="CS7" s="6">
        <v>-2.6153900000000001</v>
      </c>
      <c r="CT7" s="6">
        <v>-2.6857199999999999</v>
      </c>
      <c r="CU7" s="6">
        <v>-2.7551399999999999</v>
      </c>
      <c r="CV7" s="6">
        <v>-2.8235899999999998</v>
      </c>
      <c r="CW7" s="6">
        <v>-2.8910100000000001</v>
      </c>
      <c r="CX7" s="6">
        <v>-2.9573499999999999</v>
      </c>
      <c r="CY7" s="6">
        <v>-3.0225599999999999</v>
      </c>
      <c r="CZ7" s="6">
        <v>-3.0865999999999998</v>
      </c>
      <c r="DA7" s="6">
        <v>-3.1494399999999998</v>
      </c>
      <c r="DB7" s="6">
        <v>-3.2110300000000001</v>
      </c>
      <c r="DC7" s="6">
        <v>-3.2713399999999999</v>
      </c>
      <c r="DD7" s="6">
        <v>-3.3303500000000001</v>
      </c>
      <c r="DE7" s="6">
        <v>-3.3880400000000002</v>
      </c>
      <c r="DF7" s="6">
        <v>-3.4443800000000002</v>
      </c>
      <c r="DG7" s="6">
        <v>-3.4993500000000002</v>
      </c>
      <c r="DH7" s="6">
        <v>-3.5529500000000001</v>
      </c>
      <c r="DI7" s="6">
        <v>-3.6051700000000002</v>
      </c>
      <c r="DJ7" s="6">
        <v>-3.6560000000000001</v>
      </c>
      <c r="DK7" s="6">
        <v>-3.7054299999999998</v>
      </c>
      <c r="DL7" s="6">
        <v>-3.7534700000000001</v>
      </c>
      <c r="DM7" s="6">
        <v>-3.8001299999999998</v>
      </c>
      <c r="DN7" s="6">
        <v>-3.8454000000000002</v>
      </c>
      <c r="DO7" s="6">
        <v>-3.8893</v>
      </c>
      <c r="DP7" s="6">
        <v>-3.9318300000000002</v>
      </c>
      <c r="DQ7" s="6">
        <v>-3.9730099999999999</v>
      </c>
      <c r="DR7" s="6">
        <v>-4.0128599999999999</v>
      </c>
      <c r="DS7" s="6">
        <v>-4.05138</v>
      </c>
      <c r="DT7" s="6">
        <v>-4.0885899999999999</v>
      </c>
      <c r="DU7" s="6">
        <v>-4.1245200000000004</v>
      </c>
      <c r="DV7" s="6">
        <v>-4.1591699999999996</v>
      </c>
      <c r="DW7" s="6">
        <v>-4.1925699999999999</v>
      </c>
      <c r="DX7" s="6">
        <v>-4.2247300000000001</v>
      </c>
      <c r="DY7" s="6">
        <v>-4.2556900000000004</v>
      </c>
      <c r="DZ7" s="6">
        <v>-4.28545</v>
      </c>
      <c r="EA7" s="6">
        <v>-4.3140299999999998</v>
      </c>
      <c r="EB7" s="6">
        <v>-4.3414700000000002</v>
      </c>
      <c r="EC7" s="6">
        <v>-4.3677700000000002</v>
      </c>
      <c r="ED7" s="6">
        <v>-4.3929600000000004</v>
      </c>
      <c r="EE7" s="6">
        <v>-4.4170600000000002</v>
      </c>
      <c r="EF7" s="6">
        <v>-4.4400899999999996</v>
      </c>
      <c r="EG7" s="6">
        <v>-4.4620699999999998</v>
      </c>
      <c r="EH7" s="6">
        <v>-4.4830300000000003</v>
      </c>
      <c r="EI7" s="6">
        <v>-4.5029700000000004</v>
      </c>
      <c r="EJ7" s="6">
        <v>-4.5219199999999997</v>
      </c>
      <c r="EK7" s="6">
        <v>-4.5399000000000003</v>
      </c>
      <c r="EL7" s="6">
        <v>-4.55694</v>
      </c>
      <c r="EM7" s="6">
        <v>-4.5730399999999998</v>
      </c>
      <c r="EN7" s="6">
        <v>-4.5882300000000003</v>
      </c>
      <c r="EO7" s="6">
        <v>-4.6025200000000002</v>
      </c>
      <c r="EP7" s="6">
        <v>-4.6159400000000002</v>
      </c>
      <c r="EQ7" s="6">
        <v>-4.6284999999999998</v>
      </c>
      <c r="ER7" s="6">
        <v>-4.6402200000000002</v>
      </c>
      <c r="ES7" s="6">
        <v>-4.6511100000000001</v>
      </c>
      <c r="ET7" s="6">
        <v>-4.6612</v>
      </c>
      <c r="EU7" s="6">
        <v>-4.6704999999999997</v>
      </c>
      <c r="EV7" s="6">
        <v>-4.67903</v>
      </c>
      <c r="EW7" s="6">
        <v>-4.6867999999999999</v>
      </c>
      <c r="EX7" s="6">
        <v>-4.6938199999999997</v>
      </c>
      <c r="EY7" s="6">
        <v>-4.7001299999999997</v>
      </c>
      <c r="EZ7" s="6">
        <v>-4.7057099999999998</v>
      </c>
      <c r="FA7" s="6">
        <v>-4.71061</v>
      </c>
      <c r="FB7" s="6">
        <v>-4.7148199999999996</v>
      </c>
      <c r="FC7" s="6">
        <v>-4.7183599999999997</v>
      </c>
      <c r="FD7" s="6">
        <v>-4.7212500000000004</v>
      </c>
      <c r="FE7" s="6">
        <v>-4.7234999999999996</v>
      </c>
      <c r="FF7" s="6">
        <v>-4.7251200000000004</v>
      </c>
      <c r="FG7" s="6">
        <v>-4.7261300000000004</v>
      </c>
      <c r="FH7" s="6">
        <v>-4.7265300000000003</v>
      </c>
      <c r="FI7" s="6">
        <v>-4.7263500000000001</v>
      </c>
      <c r="FJ7" s="6">
        <v>-4.7255900000000004</v>
      </c>
      <c r="FK7" s="6">
        <v>-4.7242699999999997</v>
      </c>
      <c r="FL7" s="6">
        <v>-4.7224000000000004</v>
      </c>
      <c r="FM7" s="6">
        <v>-4.7199799999999996</v>
      </c>
      <c r="FN7" s="6">
        <v>-4.7170399999999999</v>
      </c>
      <c r="FO7" s="6">
        <v>-4.7135800000000003</v>
      </c>
      <c r="FP7" s="6">
        <v>-4.7096099999999996</v>
      </c>
      <c r="FQ7" s="6">
        <v>-4.7051400000000001</v>
      </c>
      <c r="FR7" s="6">
        <v>-4.7001900000000001</v>
      </c>
      <c r="FS7" s="6">
        <v>-4.6947599999999996</v>
      </c>
      <c r="FT7" s="6">
        <v>-4.6888699999999996</v>
      </c>
      <c r="FU7" s="6">
        <v>-4.6825200000000002</v>
      </c>
      <c r="FV7" s="6">
        <v>-4.6757299999999997</v>
      </c>
      <c r="FW7" s="6">
        <v>-4.6684999999999999</v>
      </c>
      <c r="FX7" s="6">
        <v>-4.6608499999999999</v>
      </c>
      <c r="FY7" s="6">
        <v>-4.6527700000000003</v>
      </c>
      <c r="FZ7" s="6">
        <v>-4.6442899999999998</v>
      </c>
      <c r="GA7" s="6">
        <v>-4.6354100000000003</v>
      </c>
    </row>
    <row r="8" spans="1:183" ht="15" x14ac:dyDescent="0.3">
      <c r="A8" s="10">
        <v>0.98</v>
      </c>
      <c r="B8" s="6">
        <v>-0.22222</v>
      </c>
      <c r="C8" s="6">
        <v>-0.22472</v>
      </c>
      <c r="D8" s="6">
        <v>-0.22727</v>
      </c>
      <c r="E8" s="6">
        <v>-0.22989000000000001</v>
      </c>
      <c r="F8" s="6">
        <v>-0.23255999999999999</v>
      </c>
      <c r="G8" s="6">
        <v>-0.23529</v>
      </c>
      <c r="H8" s="6">
        <v>-0.23810000000000001</v>
      </c>
      <c r="I8" s="6">
        <v>-0.24096000000000001</v>
      </c>
      <c r="J8" s="6">
        <v>-0.24390000000000001</v>
      </c>
      <c r="K8" s="6">
        <v>-0.24690999999999999</v>
      </c>
      <c r="L8" s="6">
        <v>-0.25</v>
      </c>
      <c r="M8" s="6">
        <v>-0.25316</v>
      </c>
      <c r="N8" s="6">
        <v>-0.25641000000000003</v>
      </c>
      <c r="O8" s="6">
        <v>-0.25974000000000003</v>
      </c>
      <c r="P8" s="6">
        <v>-0.26316000000000001</v>
      </c>
      <c r="Q8" s="6">
        <v>-0.26667000000000002</v>
      </c>
      <c r="R8" s="6">
        <v>-0.27027000000000001</v>
      </c>
      <c r="S8" s="6">
        <v>-0.27396999999999999</v>
      </c>
      <c r="T8" s="6">
        <v>-0.27778000000000003</v>
      </c>
      <c r="U8" s="6">
        <v>-0.28169</v>
      </c>
      <c r="V8" s="6">
        <v>-0.28571000000000002</v>
      </c>
      <c r="W8" s="6">
        <v>-0.28986000000000001</v>
      </c>
      <c r="X8" s="6">
        <v>-0.29411999999999999</v>
      </c>
      <c r="Y8" s="6">
        <v>-0.29851</v>
      </c>
      <c r="Z8" s="6">
        <v>-0.30303000000000002</v>
      </c>
      <c r="AA8" s="6">
        <v>-0.30769000000000002</v>
      </c>
      <c r="AB8" s="6">
        <v>-0.3125</v>
      </c>
      <c r="AC8" s="6">
        <v>-0.31746000000000002</v>
      </c>
      <c r="AD8" s="6">
        <v>-0.32257999999999998</v>
      </c>
      <c r="AE8" s="6">
        <v>-0.32786999999999999</v>
      </c>
      <c r="AF8" s="6">
        <v>-0.33333000000000002</v>
      </c>
      <c r="AG8" s="6">
        <v>-0.33898</v>
      </c>
      <c r="AH8" s="6">
        <v>-0.34483000000000003</v>
      </c>
      <c r="AI8" s="6">
        <v>-0.35088000000000003</v>
      </c>
      <c r="AJ8" s="6">
        <v>-0.35714000000000001</v>
      </c>
      <c r="AK8" s="6">
        <v>-0.36364000000000002</v>
      </c>
      <c r="AL8" s="6">
        <v>-0.37036999999999998</v>
      </c>
      <c r="AM8" s="6">
        <v>-0.37735999999999997</v>
      </c>
      <c r="AN8" s="6">
        <v>-0.38462000000000002</v>
      </c>
      <c r="AO8" s="6">
        <v>-0.39216000000000001</v>
      </c>
      <c r="AP8" s="6">
        <v>-0.4</v>
      </c>
      <c r="AQ8" s="6">
        <v>-0.40816000000000002</v>
      </c>
      <c r="AR8" s="6">
        <v>-0.41666999999999998</v>
      </c>
      <c r="AS8" s="6">
        <v>-0.42553000000000002</v>
      </c>
      <c r="AT8" s="6">
        <v>-0.43478</v>
      </c>
      <c r="AU8" s="6">
        <v>-0.44444</v>
      </c>
      <c r="AV8" s="6">
        <v>-0.45455000000000001</v>
      </c>
      <c r="AW8" s="6">
        <v>-0.46511999999999998</v>
      </c>
      <c r="AX8" s="6">
        <v>-0.47619</v>
      </c>
      <c r="AY8" s="6">
        <v>-0.48780000000000001</v>
      </c>
      <c r="AZ8" s="6">
        <v>-0.5</v>
      </c>
      <c r="BA8" s="6">
        <v>-0.51282000000000005</v>
      </c>
      <c r="BB8" s="6">
        <v>-0.52630999999999994</v>
      </c>
      <c r="BC8" s="6">
        <v>-0.54054000000000002</v>
      </c>
      <c r="BD8" s="6">
        <v>-0.55554999999999999</v>
      </c>
      <c r="BE8" s="6">
        <v>-0.57142000000000004</v>
      </c>
      <c r="BF8" s="6">
        <v>-0.58821999999999997</v>
      </c>
      <c r="BG8" s="6">
        <v>-0.60602999999999996</v>
      </c>
      <c r="BH8" s="6">
        <v>-0.62495000000000001</v>
      </c>
      <c r="BI8" s="6">
        <v>-0.64507000000000003</v>
      </c>
      <c r="BJ8" s="6">
        <v>-0.66649000000000003</v>
      </c>
      <c r="BK8" s="6">
        <v>-0.68935000000000002</v>
      </c>
      <c r="BL8" s="6">
        <v>-0.71377000000000002</v>
      </c>
      <c r="BM8" s="6">
        <v>-0.73987000000000003</v>
      </c>
      <c r="BN8" s="6">
        <v>-0.76778999999999997</v>
      </c>
      <c r="BO8" s="6">
        <v>-0.79764999999999997</v>
      </c>
      <c r="BP8" s="6">
        <v>-0.82959000000000005</v>
      </c>
      <c r="BQ8" s="6">
        <v>-0.86370999999999998</v>
      </c>
      <c r="BR8" s="6">
        <v>-0.90008999999999995</v>
      </c>
      <c r="BS8" s="6">
        <v>-0.93877999999999995</v>
      </c>
      <c r="BT8" s="6">
        <v>-0.9798</v>
      </c>
      <c r="BU8" s="6">
        <v>-1.02311</v>
      </c>
      <c r="BV8" s="6">
        <v>-1.06864</v>
      </c>
      <c r="BW8" s="6">
        <v>-1.1162799999999999</v>
      </c>
      <c r="BX8" s="6">
        <v>-1.16584</v>
      </c>
      <c r="BY8" s="6">
        <v>-1.21716</v>
      </c>
      <c r="BZ8" s="6">
        <v>-1.26999</v>
      </c>
      <c r="CA8" s="6">
        <v>-1.32412</v>
      </c>
      <c r="CB8" s="6">
        <v>-1.3792899999999999</v>
      </c>
      <c r="CC8" s="6">
        <v>-1.43529</v>
      </c>
      <c r="CD8" s="6">
        <v>-1.4918800000000001</v>
      </c>
      <c r="CE8" s="6">
        <v>-1.5488599999999999</v>
      </c>
      <c r="CF8" s="6">
        <v>-1.6060399999999999</v>
      </c>
      <c r="CG8" s="6">
        <v>-1.6632499999999999</v>
      </c>
      <c r="CH8" s="6">
        <v>-1.7203299999999999</v>
      </c>
      <c r="CI8" s="6">
        <v>-1.7771600000000001</v>
      </c>
      <c r="CJ8" s="6">
        <v>-1.83361</v>
      </c>
      <c r="CK8" s="6">
        <v>-1.8895900000000001</v>
      </c>
      <c r="CL8" s="6">
        <v>-1.94499</v>
      </c>
      <c r="CM8" s="6">
        <v>-1.99973</v>
      </c>
      <c r="CN8" s="6">
        <v>-2.05375</v>
      </c>
      <c r="CO8" s="6">
        <v>-2.05375</v>
      </c>
      <c r="CP8" s="6">
        <v>-2.10697</v>
      </c>
      <c r="CQ8" s="6">
        <v>-2.1593499999999999</v>
      </c>
      <c r="CR8" s="6">
        <v>-2.2108099999999999</v>
      </c>
      <c r="CS8" s="6">
        <v>-2.2613300000000001</v>
      </c>
      <c r="CT8" s="6">
        <v>-2.3108399999999998</v>
      </c>
      <c r="CU8" s="6">
        <v>-2.3593099999999998</v>
      </c>
      <c r="CV8" s="6">
        <v>-2.4066999999999998</v>
      </c>
      <c r="CW8" s="6">
        <v>-2.4529800000000002</v>
      </c>
      <c r="CX8" s="6">
        <v>-2.4981100000000001</v>
      </c>
      <c r="CY8" s="6">
        <v>-2.5420600000000002</v>
      </c>
      <c r="CZ8" s="6">
        <v>-2.5848</v>
      </c>
      <c r="DA8" s="6">
        <v>-2.6263100000000001</v>
      </c>
      <c r="DB8" s="6">
        <v>-2.6665700000000001</v>
      </c>
      <c r="DC8" s="6">
        <v>-2.7055600000000002</v>
      </c>
      <c r="DD8" s="6">
        <v>-2.7432500000000002</v>
      </c>
      <c r="DE8" s="6">
        <v>-2.7796400000000001</v>
      </c>
      <c r="DF8" s="6">
        <v>-2.8147199999999999</v>
      </c>
      <c r="DG8" s="6">
        <v>-2.8484799999999999</v>
      </c>
      <c r="DH8" s="6">
        <v>-2.8809100000000001</v>
      </c>
      <c r="DI8" s="6">
        <v>-2.9120200000000001</v>
      </c>
      <c r="DJ8" s="6">
        <v>-2.9418099999999998</v>
      </c>
      <c r="DK8" s="6">
        <v>-2.9702799999999998</v>
      </c>
      <c r="DL8" s="6">
        <v>-2.9974400000000001</v>
      </c>
      <c r="DM8" s="6">
        <v>-3.0232999999999999</v>
      </c>
      <c r="DN8" s="6">
        <v>-3.0478700000000001</v>
      </c>
      <c r="DO8" s="6">
        <v>-3.0711599999999999</v>
      </c>
      <c r="DP8" s="6">
        <v>-3.0931999999999999</v>
      </c>
      <c r="DQ8" s="6">
        <v>-3.1139899999999998</v>
      </c>
      <c r="DR8" s="6">
        <v>-3.1335600000000001</v>
      </c>
      <c r="DS8" s="6">
        <v>-3.1519300000000001</v>
      </c>
      <c r="DT8" s="6">
        <v>-3.1691099999999999</v>
      </c>
      <c r="DU8" s="6">
        <v>-3.18512</v>
      </c>
      <c r="DV8" s="6">
        <v>-3.2</v>
      </c>
      <c r="DW8" s="6">
        <v>-3.2137500000000001</v>
      </c>
      <c r="DX8" s="6">
        <v>-3.22641</v>
      </c>
      <c r="DY8" s="6">
        <v>-3.238</v>
      </c>
      <c r="DZ8" s="6">
        <v>-3.2485300000000001</v>
      </c>
      <c r="EA8" s="6">
        <v>-3.2580300000000002</v>
      </c>
      <c r="EB8" s="6">
        <v>-3.2665299999999999</v>
      </c>
      <c r="EC8" s="6">
        <v>-3.2740399999999998</v>
      </c>
      <c r="ED8" s="6">
        <v>-3.2806000000000002</v>
      </c>
      <c r="EE8" s="6">
        <v>-3.2862200000000001</v>
      </c>
      <c r="EF8" s="6">
        <v>-3.2909199999999998</v>
      </c>
      <c r="EG8" s="6">
        <v>-3.2947299999999999</v>
      </c>
      <c r="EH8" s="6">
        <v>-3.2976700000000001</v>
      </c>
      <c r="EI8" s="6">
        <v>-3.29976</v>
      </c>
      <c r="EJ8" s="6">
        <v>-3.3010299999999999</v>
      </c>
      <c r="EK8" s="6">
        <v>-3.3014899999999998</v>
      </c>
      <c r="EL8" s="6">
        <v>-3.3011599999999999</v>
      </c>
      <c r="EM8" s="6">
        <v>-3.3000699999999998</v>
      </c>
      <c r="EN8" s="6">
        <v>-3.2982300000000002</v>
      </c>
      <c r="EO8" s="6">
        <v>-3.2956699999999999</v>
      </c>
      <c r="EP8" s="6">
        <v>-3.2924000000000002</v>
      </c>
      <c r="EQ8" s="6">
        <v>-3.28844</v>
      </c>
      <c r="ER8" s="6">
        <v>-3.2838099999999999</v>
      </c>
      <c r="ES8" s="6">
        <v>-3.27854</v>
      </c>
      <c r="ET8" s="6">
        <v>-3.2726299999999999</v>
      </c>
      <c r="EU8" s="6">
        <v>-3.2660999999999998</v>
      </c>
      <c r="EV8" s="6">
        <v>-3.2589800000000002</v>
      </c>
      <c r="EW8" s="6">
        <v>-3.2512799999999999</v>
      </c>
      <c r="EX8" s="6">
        <v>-3.2430099999999999</v>
      </c>
      <c r="EY8" s="6">
        <v>-3.2341899999999999</v>
      </c>
      <c r="EZ8" s="6">
        <v>-3.2248399999999999</v>
      </c>
      <c r="FA8" s="6">
        <v>-3.2149700000000001</v>
      </c>
      <c r="FB8" s="6">
        <v>-3.2046000000000001</v>
      </c>
      <c r="FC8" s="6">
        <v>-3.19374</v>
      </c>
      <c r="FD8" s="6">
        <v>-3.18241</v>
      </c>
      <c r="FE8" s="6">
        <v>-3.17062</v>
      </c>
      <c r="FF8" s="6">
        <v>-3.1583800000000002</v>
      </c>
      <c r="FG8" s="6">
        <v>-3.1457199999999998</v>
      </c>
      <c r="FH8" s="6">
        <v>-3.1326299999999998</v>
      </c>
      <c r="FI8" s="6">
        <v>-3.1191399999999998</v>
      </c>
      <c r="FJ8" s="6">
        <v>-3.1052499999999998</v>
      </c>
      <c r="FK8" s="6">
        <v>-3.0909900000000001</v>
      </c>
      <c r="FL8" s="6">
        <v>-3.0763600000000002</v>
      </c>
      <c r="FM8" s="6">
        <v>-3.0613700000000001</v>
      </c>
      <c r="FN8" s="6">
        <v>-3.0460400000000001</v>
      </c>
      <c r="FO8" s="6">
        <v>-3.0303800000000001</v>
      </c>
      <c r="FP8" s="6">
        <v>-3.0143900000000001</v>
      </c>
      <c r="FQ8" s="6">
        <v>-2.9981</v>
      </c>
      <c r="FR8" s="6">
        <v>-2.9815</v>
      </c>
      <c r="FS8" s="6">
        <v>-2.96462</v>
      </c>
      <c r="FT8" s="6">
        <v>-2.94746</v>
      </c>
      <c r="FU8" s="6">
        <v>-2.9300199999999998</v>
      </c>
      <c r="FV8" s="6">
        <v>-2.9123399999999999</v>
      </c>
      <c r="FW8" s="6">
        <v>-2.8944000000000001</v>
      </c>
      <c r="FX8" s="6">
        <v>-2.87622</v>
      </c>
      <c r="FY8" s="6">
        <v>-2.8578199999999998</v>
      </c>
      <c r="FZ8" s="6">
        <v>-2.8391899999999999</v>
      </c>
      <c r="GA8" s="6">
        <v>-2.8203499999999999</v>
      </c>
    </row>
    <row r="9" spans="1:183" ht="15" x14ac:dyDescent="0.3">
      <c r="A9" s="10">
        <v>0.97499999999999998</v>
      </c>
      <c r="B9" s="6">
        <v>-0.22222</v>
      </c>
      <c r="C9" s="6">
        <v>-0.22472</v>
      </c>
      <c r="D9" s="6">
        <v>-0.22727</v>
      </c>
      <c r="E9" s="6">
        <v>-0.22989000000000001</v>
      </c>
      <c r="F9" s="6">
        <v>-0.23255999999999999</v>
      </c>
      <c r="G9" s="6">
        <v>-0.23529</v>
      </c>
      <c r="H9" s="6">
        <v>-0.23810000000000001</v>
      </c>
      <c r="I9" s="6">
        <v>-0.24096000000000001</v>
      </c>
      <c r="J9" s="6">
        <v>-0.24390000000000001</v>
      </c>
      <c r="K9" s="6">
        <v>-0.24690999999999999</v>
      </c>
      <c r="L9" s="6">
        <v>-0.25</v>
      </c>
      <c r="M9" s="6">
        <v>-0.25316</v>
      </c>
      <c r="N9" s="6">
        <v>-0.25641000000000003</v>
      </c>
      <c r="O9" s="6">
        <v>-0.25974000000000003</v>
      </c>
      <c r="P9" s="6">
        <v>-0.26316000000000001</v>
      </c>
      <c r="Q9" s="6">
        <v>-0.26667000000000002</v>
      </c>
      <c r="R9" s="6">
        <v>-0.27027000000000001</v>
      </c>
      <c r="S9" s="6">
        <v>-0.27396999999999999</v>
      </c>
      <c r="T9" s="6">
        <v>-0.27778000000000003</v>
      </c>
      <c r="U9" s="6">
        <v>-0.28169</v>
      </c>
      <c r="V9" s="6">
        <v>-0.28571000000000002</v>
      </c>
      <c r="W9" s="6">
        <v>-0.28986000000000001</v>
      </c>
      <c r="X9" s="6">
        <v>-0.29411999999999999</v>
      </c>
      <c r="Y9" s="6">
        <v>-0.29851</v>
      </c>
      <c r="Z9" s="6">
        <v>-0.30303000000000002</v>
      </c>
      <c r="AA9" s="6">
        <v>-0.30769000000000002</v>
      </c>
      <c r="AB9" s="6">
        <v>-0.3125</v>
      </c>
      <c r="AC9" s="6">
        <v>-0.31746000000000002</v>
      </c>
      <c r="AD9" s="6">
        <v>-0.32257999999999998</v>
      </c>
      <c r="AE9" s="6">
        <v>-0.32786999999999999</v>
      </c>
      <c r="AF9" s="6">
        <v>-0.33333000000000002</v>
      </c>
      <c r="AG9" s="6">
        <v>-0.33898</v>
      </c>
      <c r="AH9" s="6">
        <v>-0.34483000000000003</v>
      </c>
      <c r="AI9" s="6">
        <v>-0.35088000000000003</v>
      </c>
      <c r="AJ9" s="6">
        <v>-0.35714000000000001</v>
      </c>
      <c r="AK9" s="6">
        <v>-0.36364000000000002</v>
      </c>
      <c r="AL9" s="6">
        <v>-0.37036999999999998</v>
      </c>
      <c r="AM9" s="6">
        <v>-0.37735999999999997</v>
      </c>
      <c r="AN9" s="6">
        <v>-0.38462000000000002</v>
      </c>
      <c r="AO9" s="6">
        <v>-0.39216000000000001</v>
      </c>
      <c r="AP9" s="6">
        <v>-0.4</v>
      </c>
      <c r="AQ9" s="6">
        <v>-0.40816000000000002</v>
      </c>
      <c r="AR9" s="6">
        <v>-0.41666999999999998</v>
      </c>
      <c r="AS9" s="6">
        <v>-0.42553000000000002</v>
      </c>
      <c r="AT9" s="6">
        <v>-0.43478</v>
      </c>
      <c r="AU9" s="6">
        <v>-0.44444</v>
      </c>
      <c r="AV9" s="6">
        <v>-0.45455000000000001</v>
      </c>
      <c r="AW9" s="6">
        <v>-0.46511999999999998</v>
      </c>
      <c r="AX9" s="6">
        <v>-0.47619</v>
      </c>
      <c r="AY9" s="6">
        <v>-0.48780000000000001</v>
      </c>
      <c r="AZ9" s="6">
        <v>-0.5</v>
      </c>
      <c r="BA9" s="6">
        <v>-0.51282000000000005</v>
      </c>
      <c r="BB9" s="6">
        <v>-0.52630999999999994</v>
      </c>
      <c r="BC9" s="6">
        <v>-0.54054000000000002</v>
      </c>
      <c r="BD9" s="6">
        <v>-0.55554999999999999</v>
      </c>
      <c r="BE9" s="6">
        <v>-0.57140999999999997</v>
      </c>
      <c r="BF9" s="6">
        <v>-0.58821000000000001</v>
      </c>
      <c r="BG9" s="6">
        <v>-0.60601000000000005</v>
      </c>
      <c r="BH9" s="6">
        <v>-0.62490999999999997</v>
      </c>
      <c r="BI9" s="6">
        <v>-0.64500000000000002</v>
      </c>
      <c r="BJ9" s="6">
        <v>-0.66637999999999997</v>
      </c>
      <c r="BK9" s="6">
        <v>-0.68916999999999995</v>
      </c>
      <c r="BL9" s="6">
        <v>-0.71348</v>
      </c>
      <c r="BM9" s="6">
        <v>-0.73943000000000003</v>
      </c>
      <c r="BN9" s="6">
        <v>-0.76712000000000002</v>
      </c>
      <c r="BO9" s="6">
        <v>-0.79666999999999999</v>
      </c>
      <c r="BP9" s="6">
        <v>-0.82816999999999996</v>
      </c>
      <c r="BQ9" s="6">
        <v>-0.86168999999999996</v>
      </c>
      <c r="BR9" s="6">
        <v>-0.89727999999999997</v>
      </c>
      <c r="BS9" s="6">
        <v>-0.93494999999999995</v>
      </c>
      <c r="BT9" s="6">
        <v>-0.97467999999999999</v>
      </c>
      <c r="BU9" s="6">
        <v>-1.0164</v>
      </c>
      <c r="BV9" s="6">
        <v>-1.0600099999999999</v>
      </c>
      <c r="BW9" s="6">
        <v>-1.10537</v>
      </c>
      <c r="BX9" s="6">
        <v>-1.15229</v>
      </c>
      <c r="BY9" s="6">
        <v>-1.20059</v>
      </c>
      <c r="BZ9" s="6">
        <v>-1.25004</v>
      </c>
      <c r="CA9" s="6">
        <v>-1.3004199999999999</v>
      </c>
      <c r="CB9" s="6">
        <v>-1.3515299999999999</v>
      </c>
      <c r="CC9" s="6">
        <v>-1.4031400000000001</v>
      </c>
      <c r="CD9" s="6">
        <v>-1.4550700000000001</v>
      </c>
      <c r="CE9" s="6">
        <v>-1.50712</v>
      </c>
      <c r="CF9" s="6">
        <v>-1.55914</v>
      </c>
      <c r="CG9" s="6">
        <v>-1.6109899999999999</v>
      </c>
      <c r="CH9" s="6">
        <v>-1.6625300000000001</v>
      </c>
      <c r="CI9" s="6">
        <v>-1.71366</v>
      </c>
      <c r="CJ9" s="6">
        <v>-1.76427</v>
      </c>
      <c r="CK9" s="6">
        <v>-1.81427</v>
      </c>
      <c r="CL9" s="6">
        <v>-1.8635999999999999</v>
      </c>
      <c r="CM9" s="6">
        <v>-1.9121900000000001</v>
      </c>
      <c r="CN9" s="6">
        <v>-1.9599599999999999</v>
      </c>
      <c r="CO9" s="6">
        <v>-1.9599599999999999</v>
      </c>
      <c r="CP9" s="6">
        <v>-2.0068800000000002</v>
      </c>
      <c r="CQ9" s="6">
        <v>-2.0529000000000002</v>
      </c>
      <c r="CR9" s="6">
        <v>-2.09795</v>
      </c>
      <c r="CS9" s="6">
        <v>-2.14202</v>
      </c>
      <c r="CT9" s="6">
        <v>-2.1850499999999999</v>
      </c>
      <c r="CU9" s="6">
        <v>-2.22702</v>
      </c>
      <c r="CV9" s="6">
        <v>-2.2679</v>
      </c>
      <c r="CW9" s="6">
        <v>-2.3076400000000001</v>
      </c>
      <c r="CX9" s="6">
        <v>-2.3462299999999998</v>
      </c>
      <c r="CY9" s="6">
        <v>-2.3836400000000002</v>
      </c>
      <c r="CZ9" s="6">
        <v>-2.4198400000000002</v>
      </c>
      <c r="DA9" s="6">
        <v>-2.4548199999999998</v>
      </c>
      <c r="DB9" s="6">
        <v>-2.48855</v>
      </c>
      <c r="DC9" s="6">
        <v>-2.52102</v>
      </c>
      <c r="DD9" s="6">
        <v>-2.5522200000000002</v>
      </c>
      <c r="DE9" s="6">
        <v>-2.5821399999999999</v>
      </c>
      <c r="DF9" s="6">
        <v>-2.61076</v>
      </c>
      <c r="DG9" s="6">
        <v>-2.6381000000000001</v>
      </c>
      <c r="DH9" s="6">
        <v>-2.6641300000000001</v>
      </c>
      <c r="DI9" s="6">
        <v>-2.6888800000000002</v>
      </c>
      <c r="DJ9" s="6">
        <v>-2.7123400000000002</v>
      </c>
      <c r="DK9" s="6">
        <v>-2.7345100000000002</v>
      </c>
      <c r="DL9" s="6">
        <v>-2.7554099999999999</v>
      </c>
      <c r="DM9" s="6">
        <v>-2.7750599999999999</v>
      </c>
      <c r="DN9" s="6">
        <v>-2.79345</v>
      </c>
      <c r="DO9" s="6">
        <v>-2.8106200000000001</v>
      </c>
      <c r="DP9" s="6">
        <v>-2.8265799999999999</v>
      </c>
      <c r="DQ9" s="6">
        <v>-2.8413400000000002</v>
      </c>
      <c r="DR9" s="6">
        <v>-2.8549199999999999</v>
      </c>
      <c r="DS9" s="6">
        <v>-2.8673500000000001</v>
      </c>
      <c r="DT9" s="6">
        <v>-2.8786499999999999</v>
      </c>
      <c r="DU9" s="6">
        <v>-2.8888400000000001</v>
      </c>
      <c r="DV9" s="6">
        <v>-2.8979499999999998</v>
      </c>
      <c r="DW9" s="6">
        <v>-2.9059900000000001</v>
      </c>
      <c r="DX9" s="6">
        <v>-2.9129900000000002</v>
      </c>
      <c r="DY9" s="6">
        <v>-2.9189799999999999</v>
      </c>
      <c r="DZ9" s="6">
        <v>-2.9239700000000002</v>
      </c>
      <c r="EA9" s="6">
        <v>-2.9279899999999999</v>
      </c>
      <c r="EB9" s="6">
        <v>-2.9310700000000001</v>
      </c>
      <c r="EC9" s="6">
        <v>-2.9332400000000001</v>
      </c>
      <c r="ED9" s="6">
        <v>-2.9344999999999999</v>
      </c>
      <c r="EE9" s="6">
        <v>-2.9348900000000002</v>
      </c>
      <c r="EF9" s="6">
        <v>-2.9344299999999999</v>
      </c>
      <c r="EG9" s="6">
        <v>-2.9331399999999999</v>
      </c>
      <c r="EH9" s="6">
        <v>-2.9310499999999999</v>
      </c>
      <c r="EI9" s="6">
        <v>-2.9281799999999998</v>
      </c>
      <c r="EJ9" s="6">
        <v>-2.92455</v>
      </c>
      <c r="EK9" s="6">
        <v>-2.9201700000000002</v>
      </c>
      <c r="EL9" s="6">
        <v>-2.9150800000000001</v>
      </c>
      <c r="EM9" s="6">
        <v>-2.9093</v>
      </c>
      <c r="EN9" s="6">
        <v>-2.9028299999999998</v>
      </c>
      <c r="EO9" s="6">
        <v>-2.8957199999999998</v>
      </c>
      <c r="EP9" s="6">
        <v>-2.8879600000000001</v>
      </c>
      <c r="EQ9" s="6">
        <v>-2.8795899999999999</v>
      </c>
      <c r="ER9" s="6">
        <v>-2.8706200000000002</v>
      </c>
      <c r="ES9" s="6">
        <v>-2.8610699999999998</v>
      </c>
      <c r="ET9" s="6">
        <v>-2.8509600000000002</v>
      </c>
      <c r="EU9" s="6">
        <v>-2.8403</v>
      </c>
      <c r="EV9" s="6">
        <v>-2.8291200000000001</v>
      </c>
      <c r="EW9" s="6">
        <v>-2.8174299999999999</v>
      </c>
      <c r="EX9" s="6">
        <v>-2.80525</v>
      </c>
      <c r="EY9" s="6">
        <v>-2.7925900000000001</v>
      </c>
      <c r="EZ9" s="6">
        <v>-2.7794699999999999</v>
      </c>
      <c r="FA9" s="6">
        <v>-2.7659099999999999</v>
      </c>
      <c r="FB9" s="6">
        <v>-2.7519100000000001</v>
      </c>
      <c r="FC9" s="6">
        <v>-2.7375099999999999</v>
      </c>
      <c r="FD9" s="6">
        <v>-2.7227000000000001</v>
      </c>
      <c r="FE9" s="6">
        <v>-2.7075100000000001</v>
      </c>
      <c r="FF9" s="6">
        <v>-2.6919499999999998</v>
      </c>
      <c r="FG9" s="6">
        <v>-2.6760299999999999</v>
      </c>
      <c r="FH9" s="6">
        <v>-2.65977</v>
      </c>
      <c r="FI9" s="6">
        <v>-2.64317</v>
      </c>
      <c r="FJ9" s="6">
        <v>-2.6262599999999998</v>
      </c>
      <c r="FK9" s="6">
        <v>-2.6090499999999999</v>
      </c>
      <c r="FL9" s="6">
        <v>-2.5915400000000002</v>
      </c>
      <c r="FM9" s="6">
        <v>-2.57375</v>
      </c>
      <c r="FN9" s="6">
        <v>-2.5556899999999998</v>
      </c>
      <c r="FO9" s="6">
        <v>-2.5373700000000001</v>
      </c>
      <c r="FP9" s="6">
        <v>-2.5188100000000002</v>
      </c>
      <c r="FQ9" s="6">
        <v>-2.5000100000000001</v>
      </c>
      <c r="FR9" s="6">
        <v>-2.4809899999999998</v>
      </c>
      <c r="FS9" s="6">
        <v>-2.4617499999999999</v>
      </c>
      <c r="FT9" s="6">
        <v>-2.44231</v>
      </c>
      <c r="FU9" s="6">
        <v>-2.4226800000000002</v>
      </c>
      <c r="FV9" s="6">
        <v>-2.4028700000000001</v>
      </c>
      <c r="FW9" s="6">
        <v>-2.3828800000000001</v>
      </c>
      <c r="FX9" s="6">
        <v>-2.36273</v>
      </c>
      <c r="FY9" s="6">
        <v>-2.3424200000000002</v>
      </c>
      <c r="FZ9" s="6">
        <v>-2.3219699999999999</v>
      </c>
      <c r="GA9" s="6">
        <v>-2.30138</v>
      </c>
    </row>
    <row r="10" spans="1:183" ht="15" x14ac:dyDescent="0.3">
      <c r="A10" s="10">
        <v>0.96</v>
      </c>
      <c r="B10" s="6">
        <v>-0.22222</v>
      </c>
      <c r="C10" s="6">
        <v>-0.22472</v>
      </c>
      <c r="D10" s="6">
        <v>-0.22727</v>
      </c>
      <c r="E10" s="6">
        <v>-0.22989000000000001</v>
      </c>
      <c r="F10" s="6">
        <v>-0.23255999999999999</v>
      </c>
      <c r="G10" s="6">
        <v>-0.23529</v>
      </c>
      <c r="H10" s="6">
        <v>-0.23810000000000001</v>
      </c>
      <c r="I10" s="6">
        <v>-0.24096000000000001</v>
      </c>
      <c r="J10" s="6">
        <v>-0.24390000000000001</v>
      </c>
      <c r="K10" s="6">
        <v>-0.24690999999999999</v>
      </c>
      <c r="L10" s="6">
        <v>-0.25</v>
      </c>
      <c r="M10" s="6">
        <v>-0.25316</v>
      </c>
      <c r="N10" s="6">
        <v>-0.25641000000000003</v>
      </c>
      <c r="O10" s="6">
        <v>-0.25974000000000003</v>
      </c>
      <c r="P10" s="6">
        <v>-0.26316000000000001</v>
      </c>
      <c r="Q10" s="6">
        <v>-0.26667000000000002</v>
      </c>
      <c r="R10" s="6">
        <v>-0.27027000000000001</v>
      </c>
      <c r="S10" s="6">
        <v>-0.27396999999999999</v>
      </c>
      <c r="T10" s="6">
        <v>-0.27778000000000003</v>
      </c>
      <c r="U10" s="6">
        <v>-0.28169</v>
      </c>
      <c r="V10" s="6">
        <v>-0.28571000000000002</v>
      </c>
      <c r="W10" s="6">
        <v>-0.28986000000000001</v>
      </c>
      <c r="X10" s="6">
        <v>-0.29411999999999999</v>
      </c>
      <c r="Y10" s="6">
        <v>-0.29851</v>
      </c>
      <c r="Z10" s="6">
        <v>-0.30303000000000002</v>
      </c>
      <c r="AA10" s="6">
        <v>-0.30769000000000002</v>
      </c>
      <c r="AB10" s="6">
        <v>-0.3125</v>
      </c>
      <c r="AC10" s="6">
        <v>-0.31746000000000002</v>
      </c>
      <c r="AD10" s="6">
        <v>-0.32257999999999998</v>
      </c>
      <c r="AE10" s="6">
        <v>-0.32786999999999999</v>
      </c>
      <c r="AF10" s="6">
        <v>-0.33333000000000002</v>
      </c>
      <c r="AG10" s="6">
        <v>-0.33898</v>
      </c>
      <c r="AH10" s="6">
        <v>-0.34483000000000003</v>
      </c>
      <c r="AI10" s="6">
        <v>-0.35088000000000003</v>
      </c>
      <c r="AJ10" s="6">
        <v>-0.35714000000000001</v>
      </c>
      <c r="AK10" s="6">
        <v>-0.36364000000000002</v>
      </c>
      <c r="AL10" s="6">
        <v>-0.37036999999999998</v>
      </c>
      <c r="AM10" s="6">
        <v>-0.37735999999999997</v>
      </c>
      <c r="AN10" s="6">
        <v>-0.38462000000000002</v>
      </c>
      <c r="AO10" s="6">
        <v>-0.39216000000000001</v>
      </c>
      <c r="AP10" s="6">
        <v>-0.4</v>
      </c>
      <c r="AQ10" s="6">
        <v>-0.40816000000000002</v>
      </c>
      <c r="AR10" s="6">
        <v>-0.41666999999999998</v>
      </c>
      <c r="AS10" s="6">
        <v>-0.42553000000000002</v>
      </c>
      <c r="AT10" s="6">
        <v>-0.43478</v>
      </c>
      <c r="AU10" s="6">
        <v>-0.44444</v>
      </c>
      <c r="AV10" s="6">
        <v>-0.45455000000000001</v>
      </c>
      <c r="AW10" s="6">
        <v>-0.46511999999999998</v>
      </c>
      <c r="AX10" s="6">
        <v>-0.47619</v>
      </c>
      <c r="AY10" s="6">
        <v>-0.48780000000000001</v>
      </c>
      <c r="AZ10" s="6">
        <v>-0.5</v>
      </c>
      <c r="BA10" s="6">
        <v>-0.51280999999999999</v>
      </c>
      <c r="BB10" s="6">
        <v>-0.52629999999999999</v>
      </c>
      <c r="BC10" s="6">
        <v>-0.54052</v>
      </c>
      <c r="BD10" s="6">
        <v>-0.55552000000000001</v>
      </c>
      <c r="BE10" s="6">
        <v>-0.57135999999999998</v>
      </c>
      <c r="BF10" s="6">
        <v>-0.58811999999999998</v>
      </c>
      <c r="BG10" s="6">
        <v>-0.60587000000000002</v>
      </c>
      <c r="BH10" s="6">
        <v>-0.62468999999999997</v>
      </c>
      <c r="BI10" s="6">
        <v>-0.64464999999999995</v>
      </c>
      <c r="BJ10" s="6">
        <v>-0.66585000000000005</v>
      </c>
      <c r="BK10" s="6">
        <v>-0.68835999999999997</v>
      </c>
      <c r="BL10" s="6">
        <v>-0.71226999999999996</v>
      </c>
      <c r="BM10" s="6">
        <v>-0.73765000000000003</v>
      </c>
      <c r="BN10" s="6">
        <v>-0.76456000000000002</v>
      </c>
      <c r="BO10" s="6">
        <v>-0.79305999999999999</v>
      </c>
      <c r="BP10" s="6">
        <v>-0.82315000000000005</v>
      </c>
      <c r="BQ10" s="6">
        <v>-0.85485999999999995</v>
      </c>
      <c r="BR10" s="6">
        <v>-0.88814000000000004</v>
      </c>
      <c r="BS10" s="6">
        <v>-0.92295000000000005</v>
      </c>
      <c r="BT10" s="6">
        <v>-0.95918000000000003</v>
      </c>
      <c r="BU10" s="6">
        <v>-0.99672000000000005</v>
      </c>
      <c r="BV10" s="6">
        <v>-1.0354300000000001</v>
      </c>
      <c r="BW10" s="6">
        <v>-1.0751299999999999</v>
      </c>
      <c r="BX10" s="6">
        <v>-1.1156600000000001</v>
      </c>
      <c r="BY10" s="6">
        <v>-1.15682</v>
      </c>
      <c r="BZ10" s="6">
        <v>-1.19842</v>
      </c>
      <c r="CA10" s="6">
        <v>-1.24028</v>
      </c>
      <c r="CB10" s="6">
        <v>-1.2822499999999999</v>
      </c>
      <c r="CC10" s="6">
        <v>-1.3241400000000001</v>
      </c>
      <c r="CD10" s="6">
        <v>-1.3658399999999999</v>
      </c>
      <c r="CE10" s="6">
        <v>-1.4072</v>
      </c>
      <c r="CF10" s="6">
        <v>-1.4481299999999999</v>
      </c>
      <c r="CG10" s="6">
        <v>-1.4885200000000001</v>
      </c>
      <c r="CH10" s="6">
        <v>-1.5283</v>
      </c>
      <c r="CI10" s="6">
        <v>-1.5673999999999999</v>
      </c>
      <c r="CJ10" s="6">
        <v>-1.6057399999999999</v>
      </c>
      <c r="CK10" s="6">
        <v>-1.6432899999999999</v>
      </c>
      <c r="CL10" s="6">
        <v>-1.6799900000000001</v>
      </c>
      <c r="CM10" s="6">
        <v>-1.7158</v>
      </c>
      <c r="CN10" s="6">
        <v>-1.7506900000000001</v>
      </c>
      <c r="CO10" s="6">
        <v>-1.7506900000000001</v>
      </c>
      <c r="CP10" s="6">
        <v>-1.7846200000000001</v>
      </c>
      <c r="CQ10" s="6">
        <v>-1.8175600000000001</v>
      </c>
      <c r="CR10" s="6">
        <v>-1.8494900000000001</v>
      </c>
      <c r="CS10" s="6">
        <v>-1.88039</v>
      </c>
      <c r="CT10" s="6">
        <v>-1.91022</v>
      </c>
      <c r="CU10" s="6">
        <v>-1.93896</v>
      </c>
      <c r="CV10" s="6">
        <v>-1.9665999999999999</v>
      </c>
      <c r="CW10" s="6">
        <v>-1.9931099999999999</v>
      </c>
      <c r="CX10" s="6">
        <v>-2.0184799999999998</v>
      </c>
      <c r="CY10" s="6">
        <v>-2.0426899999999999</v>
      </c>
      <c r="CZ10" s="6">
        <v>-2.0657299999999998</v>
      </c>
      <c r="DA10" s="6">
        <v>-2.08758</v>
      </c>
      <c r="DB10" s="6">
        <v>-2.1082299999999998</v>
      </c>
      <c r="DC10" s="6">
        <v>-2.1276799999999998</v>
      </c>
      <c r="DD10" s="6">
        <v>-2.1459100000000002</v>
      </c>
      <c r="DE10" s="6">
        <v>-2.1629299999999998</v>
      </c>
      <c r="DF10" s="6">
        <v>-2.1787299999999998</v>
      </c>
      <c r="DG10" s="6">
        <v>-2.1933199999999999</v>
      </c>
      <c r="DH10" s="6">
        <v>-2.2067000000000001</v>
      </c>
      <c r="DI10" s="6">
        <v>-2.21888</v>
      </c>
      <c r="DJ10" s="6">
        <v>-2.22986</v>
      </c>
      <c r="DK10" s="6">
        <v>-2.2396699999999998</v>
      </c>
      <c r="DL10" s="6">
        <v>-2.24831</v>
      </c>
      <c r="DM10" s="6">
        <v>-2.2558099999999999</v>
      </c>
      <c r="DN10" s="6">
        <v>-2.2621699999999998</v>
      </c>
      <c r="DO10" s="6">
        <v>-2.2674300000000001</v>
      </c>
      <c r="DP10" s="6">
        <v>-2.2715999999999998</v>
      </c>
      <c r="DQ10" s="6">
        <v>-2.2747000000000002</v>
      </c>
      <c r="DR10" s="6">
        <v>-2.2767599999999999</v>
      </c>
      <c r="DS10" s="6">
        <v>-2.2778</v>
      </c>
      <c r="DT10" s="6">
        <v>-2.2778499999999999</v>
      </c>
      <c r="DU10" s="6">
        <v>-2.2769300000000001</v>
      </c>
      <c r="DV10" s="6">
        <v>-2.2750599999999999</v>
      </c>
      <c r="DW10" s="6">
        <v>-2.2722899999999999</v>
      </c>
      <c r="DX10" s="6">
        <v>-2.2686199999999999</v>
      </c>
      <c r="DY10" s="6">
        <v>-2.2640899999999999</v>
      </c>
      <c r="DZ10" s="6">
        <v>-2.2587199999999998</v>
      </c>
      <c r="EA10" s="6">
        <v>-2.2525400000000002</v>
      </c>
      <c r="EB10" s="6">
        <v>-2.2455799999999999</v>
      </c>
      <c r="EC10" s="6">
        <v>-2.23786</v>
      </c>
      <c r="ED10" s="6">
        <v>-2.2294</v>
      </c>
      <c r="EE10" s="6">
        <v>-2.22024</v>
      </c>
      <c r="EF10" s="6">
        <v>-2.2103899999999999</v>
      </c>
      <c r="EG10" s="6">
        <v>-2.1998799999999998</v>
      </c>
      <c r="EH10" s="6">
        <v>-2.1887400000000001</v>
      </c>
      <c r="EI10" s="6">
        <v>-2.17699</v>
      </c>
      <c r="EJ10" s="6">
        <v>-2.16465</v>
      </c>
      <c r="EK10" s="6">
        <v>-2.1517400000000002</v>
      </c>
      <c r="EL10" s="6">
        <v>-2.13829</v>
      </c>
      <c r="EM10" s="6">
        <v>-2.12432</v>
      </c>
      <c r="EN10" s="6">
        <v>-2.1098499999999998</v>
      </c>
      <c r="EO10" s="6">
        <v>-2.0949</v>
      </c>
      <c r="EP10" s="6">
        <v>-2.0794999999999999</v>
      </c>
      <c r="EQ10" s="6">
        <v>-2.06365</v>
      </c>
      <c r="ER10" s="6">
        <v>-2.04739</v>
      </c>
      <c r="ES10" s="6">
        <v>-2.0307300000000001</v>
      </c>
      <c r="ET10" s="6">
        <v>-2.01369</v>
      </c>
      <c r="EU10" s="6">
        <v>-1.9962899999999999</v>
      </c>
      <c r="EV10" s="6">
        <v>-1.97855</v>
      </c>
      <c r="EW10" s="6">
        <v>-1.96048</v>
      </c>
      <c r="EX10" s="6">
        <v>-1.9420999999999999</v>
      </c>
      <c r="EY10" s="6">
        <v>-1.92343</v>
      </c>
      <c r="EZ10" s="6">
        <v>-1.90449</v>
      </c>
      <c r="FA10" s="6">
        <v>-1.8852800000000001</v>
      </c>
      <c r="FB10" s="6">
        <v>-1.8658399999999999</v>
      </c>
      <c r="FC10" s="6">
        <v>-1.84616</v>
      </c>
      <c r="FD10" s="6">
        <v>-1.8262700000000001</v>
      </c>
      <c r="FE10" s="6">
        <v>-1.8061799999999999</v>
      </c>
      <c r="FF10" s="6">
        <v>-1.7859100000000001</v>
      </c>
      <c r="FG10" s="6">
        <v>-1.7654700000000001</v>
      </c>
      <c r="FH10" s="6">
        <v>-1.7448699999999999</v>
      </c>
      <c r="FI10" s="6">
        <v>-1.7241200000000001</v>
      </c>
      <c r="FJ10" s="6">
        <v>-1.7032499999999999</v>
      </c>
      <c r="FK10" s="6">
        <v>-1.68225</v>
      </c>
      <c r="FL10" s="6">
        <v>-1.6611499999999999</v>
      </c>
      <c r="FM10" s="6">
        <v>-1.63995</v>
      </c>
      <c r="FN10" s="6">
        <v>-1.6186700000000001</v>
      </c>
      <c r="FO10" s="6">
        <v>-1.5973200000000001</v>
      </c>
      <c r="FP10" s="6">
        <v>-1.5759099999999999</v>
      </c>
      <c r="FQ10" s="6">
        <v>-1.55444</v>
      </c>
      <c r="FR10" s="6">
        <v>-1.53294</v>
      </c>
      <c r="FS10" s="6">
        <v>-1.5114099999999999</v>
      </c>
      <c r="FT10" s="6">
        <v>-1.4898499999999999</v>
      </c>
      <c r="FU10" s="6">
        <v>-1.4682900000000001</v>
      </c>
      <c r="FV10" s="6">
        <v>-1.4467300000000001</v>
      </c>
      <c r="FW10" s="6">
        <v>-1.4251799999999999</v>
      </c>
      <c r="FX10" s="6">
        <v>-1.40364</v>
      </c>
      <c r="FY10" s="6">
        <v>-1.3821300000000001</v>
      </c>
      <c r="FZ10" s="6">
        <v>-1.3606499999999999</v>
      </c>
      <c r="GA10" s="6">
        <v>-1.3392200000000001</v>
      </c>
    </row>
    <row r="11" spans="1:183" ht="15" x14ac:dyDescent="0.3">
      <c r="A11" s="10">
        <v>0.95</v>
      </c>
      <c r="B11" s="6">
        <v>-0.22222</v>
      </c>
      <c r="C11" s="6">
        <v>-0.22472</v>
      </c>
      <c r="D11" s="6">
        <v>-0.22727</v>
      </c>
      <c r="E11" s="6">
        <v>-0.22989000000000001</v>
      </c>
      <c r="F11" s="6">
        <v>-0.23255999999999999</v>
      </c>
      <c r="G11" s="6">
        <v>-0.23529</v>
      </c>
      <c r="H11" s="6">
        <v>-0.23810000000000001</v>
      </c>
      <c r="I11" s="6">
        <v>-0.24096000000000001</v>
      </c>
      <c r="J11" s="6">
        <v>-0.24390000000000001</v>
      </c>
      <c r="K11" s="6">
        <v>-0.24690999999999999</v>
      </c>
      <c r="L11" s="6">
        <v>-0.25</v>
      </c>
      <c r="M11" s="6">
        <v>-0.25316</v>
      </c>
      <c r="N11" s="6">
        <v>-0.25641000000000003</v>
      </c>
      <c r="O11" s="6">
        <v>-0.25974000000000003</v>
      </c>
      <c r="P11" s="6">
        <v>-0.26316000000000001</v>
      </c>
      <c r="Q11" s="6">
        <v>-0.26667000000000002</v>
      </c>
      <c r="R11" s="6">
        <v>-0.27027000000000001</v>
      </c>
      <c r="S11" s="6">
        <v>-0.27396999999999999</v>
      </c>
      <c r="T11" s="6">
        <v>-0.27778000000000003</v>
      </c>
      <c r="U11" s="6">
        <v>-0.28169</v>
      </c>
      <c r="V11" s="6">
        <v>-0.28571000000000002</v>
      </c>
      <c r="W11" s="6">
        <v>-0.28986000000000001</v>
      </c>
      <c r="X11" s="6">
        <v>-0.29411999999999999</v>
      </c>
      <c r="Y11" s="6">
        <v>-0.29851</v>
      </c>
      <c r="Z11" s="6">
        <v>-0.30303000000000002</v>
      </c>
      <c r="AA11" s="6">
        <v>-0.30769000000000002</v>
      </c>
      <c r="AB11" s="6">
        <v>-0.3125</v>
      </c>
      <c r="AC11" s="6">
        <v>-0.31746000000000002</v>
      </c>
      <c r="AD11" s="6">
        <v>-0.32257999999999998</v>
      </c>
      <c r="AE11" s="6">
        <v>-0.32786999999999999</v>
      </c>
      <c r="AF11" s="6">
        <v>-0.33333000000000002</v>
      </c>
      <c r="AG11" s="6">
        <v>-0.33898</v>
      </c>
      <c r="AH11" s="6">
        <v>-0.34483000000000003</v>
      </c>
      <c r="AI11" s="6">
        <v>-0.35088000000000003</v>
      </c>
      <c r="AJ11" s="6">
        <v>-0.35714000000000001</v>
      </c>
      <c r="AK11" s="6">
        <v>-0.36364000000000002</v>
      </c>
      <c r="AL11" s="6">
        <v>-0.37036999999999998</v>
      </c>
      <c r="AM11" s="6">
        <v>-0.37735999999999997</v>
      </c>
      <c r="AN11" s="6">
        <v>-0.38462000000000002</v>
      </c>
      <c r="AO11" s="6">
        <v>-0.39216000000000001</v>
      </c>
      <c r="AP11" s="6">
        <v>-0.4</v>
      </c>
      <c r="AQ11" s="6">
        <v>-0.40816000000000002</v>
      </c>
      <c r="AR11" s="6">
        <v>-0.41666999999999998</v>
      </c>
      <c r="AS11" s="6">
        <v>-0.42553000000000002</v>
      </c>
      <c r="AT11" s="6">
        <v>-0.43478</v>
      </c>
      <c r="AU11" s="6">
        <v>-0.44444</v>
      </c>
      <c r="AV11" s="6">
        <v>-0.45454</v>
      </c>
      <c r="AW11" s="6">
        <v>-0.46511000000000002</v>
      </c>
      <c r="AX11" s="6">
        <v>-0.47619</v>
      </c>
      <c r="AY11" s="6">
        <v>-0.48780000000000001</v>
      </c>
      <c r="AZ11" s="6">
        <v>-0.49998999999999999</v>
      </c>
      <c r="BA11" s="6">
        <v>-0.51280999999999999</v>
      </c>
      <c r="BB11" s="6">
        <v>-0.52629000000000004</v>
      </c>
      <c r="BC11" s="6">
        <v>-0.54049999999999998</v>
      </c>
      <c r="BD11" s="6">
        <v>-0.55547999999999997</v>
      </c>
      <c r="BE11" s="6">
        <v>-0.57130000000000003</v>
      </c>
      <c r="BF11" s="6">
        <v>-0.58801999999999999</v>
      </c>
      <c r="BG11" s="6">
        <v>-0.60572000000000004</v>
      </c>
      <c r="BH11" s="6">
        <v>-0.62444999999999995</v>
      </c>
      <c r="BI11" s="6">
        <v>-0.64429000000000003</v>
      </c>
      <c r="BJ11" s="6">
        <v>-0.66532000000000002</v>
      </c>
      <c r="BK11" s="6">
        <v>-0.68759000000000003</v>
      </c>
      <c r="BL11" s="6">
        <v>-0.71116000000000001</v>
      </c>
      <c r="BM11" s="6">
        <v>-0.73609999999999998</v>
      </c>
      <c r="BN11" s="6">
        <v>-0.76241999999999999</v>
      </c>
      <c r="BO11" s="6">
        <v>-0.79015000000000002</v>
      </c>
      <c r="BP11" s="6">
        <v>-0.81927000000000005</v>
      </c>
      <c r="BQ11" s="6">
        <v>-0.84975999999999996</v>
      </c>
      <c r="BR11" s="6">
        <v>-0.88156000000000001</v>
      </c>
      <c r="BS11" s="6">
        <v>-0.91457999999999995</v>
      </c>
      <c r="BT11" s="6">
        <v>-0.94871000000000005</v>
      </c>
      <c r="BU11" s="6">
        <v>-0.98380999999999996</v>
      </c>
      <c r="BV11" s="6">
        <v>-1.01973</v>
      </c>
      <c r="BW11" s="6">
        <v>-1.0563100000000001</v>
      </c>
      <c r="BX11" s="6">
        <v>-1.09338</v>
      </c>
      <c r="BY11" s="6">
        <v>-1.1307499999999999</v>
      </c>
      <c r="BZ11" s="6">
        <v>-1.1682699999999999</v>
      </c>
      <c r="CA11" s="6">
        <v>-1.2057800000000001</v>
      </c>
      <c r="CB11" s="6">
        <v>-1.2431300000000001</v>
      </c>
      <c r="CC11" s="6">
        <v>-1.2801899999999999</v>
      </c>
      <c r="CD11" s="6">
        <v>-1.31684</v>
      </c>
      <c r="CE11" s="6">
        <v>-1.3529899999999999</v>
      </c>
      <c r="CF11" s="6">
        <v>-1.38855</v>
      </c>
      <c r="CG11" s="6">
        <v>-1.4234500000000001</v>
      </c>
      <c r="CH11" s="6">
        <v>-1.4576199999999999</v>
      </c>
      <c r="CI11" s="6">
        <v>-1.4910099999999999</v>
      </c>
      <c r="CJ11" s="6">
        <v>-1.5235700000000001</v>
      </c>
      <c r="CK11" s="6">
        <v>-1.5552699999999999</v>
      </c>
      <c r="CL11" s="6">
        <v>-1.5860700000000001</v>
      </c>
      <c r="CM11" s="6">
        <v>-1.6159399999999999</v>
      </c>
      <c r="CN11" s="6">
        <v>-1.6448499999999999</v>
      </c>
      <c r="CO11" s="6">
        <v>-1.6448499999999999</v>
      </c>
      <c r="CP11" s="6">
        <v>-1.67279</v>
      </c>
      <c r="CQ11" s="6">
        <v>-1.6997100000000001</v>
      </c>
      <c r="CR11" s="6">
        <v>-1.7256199999999999</v>
      </c>
      <c r="CS11" s="6">
        <v>-1.75048</v>
      </c>
      <c r="CT11" s="6">
        <v>-1.7742800000000001</v>
      </c>
      <c r="CU11" s="6">
        <v>-1.79701</v>
      </c>
      <c r="CV11" s="6">
        <v>-1.81864</v>
      </c>
      <c r="CW11" s="6">
        <v>-1.8391599999999999</v>
      </c>
      <c r="CX11" s="6">
        <v>-1.85856</v>
      </c>
      <c r="CY11" s="6">
        <v>-1.87683</v>
      </c>
      <c r="CZ11" s="6">
        <v>-1.89395</v>
      </c>
      <c r="DA11" s="6">
        <v>-1.9099200000000001</v>
      </c>
      <c r="DB11" s="6">
        <v>-1.92472</v>
      </c>
      <c r="DC11" s="6">
        <v>-1.9383600000000001</v>
      </c>
      <c r="DD11" s="6">
        <v>-1.9508300000000001</v>
      </c>
      <c r="DE11" s="6">
        <v>-1.9621299999999999</v>
      </c>
      <c r="DF11" s="6">
        <v>-1.97227</v>
      </c>
      <c r="DG11" s="6">
        <v>-1.9812399999999999</v>
      </c>
      <c r="DH11" s="6">
        <v>-1.9890600000000001</v>
      </c>
      <c r="DI11" s="6">
        <v>-1.99573</v>
      </c>
      <c r="DJ11" s="6">
        <v>-2.0012799999999999</v>
      </c>
      <c r="DK11" s="6">
        <v>-2.0057</v>
      </c>
      <c r="DL11" s="6">
        <v>-2.0090300000000001</v>
      </c>
      <c r="DM11" s="6">
        <v>-2.0112800000000002</v>
      </c>
      <c r="DN11" s="6">
        <v>-2.01247</v>
      </c>
      <c r="DO11" s="6">
        <v>-2.0126300000000001</v>
      </c>
      <c r="DP11" s="6">
        <v>-2.0117699999999998</v>
      </c>
      <c r="DQ11" s="6">
        <v>-2.0099200000000002</v>
      </c>
      <c r="DR11" s="6">
        <v>-2.0070999999999999</v>
      </c>
      <c r="DS11" s="6">
        <v>-2.0033500000000002</v>
      </c>
      <c r="DT11" s="6">
        <v>-1.9986900000000001</v>
      </c>
      <c r="DU11" s="6">
        <v>-1.9931399999999999</v>
      </c>
      <c r="DV11" s="6">
        <v>-1.98674</v>
      </c>
      <c r="DW11" s="6">
        <v>-1.9795100000000001</v>
      </c>
      <c r="DX11" s="6">
        <v>-1.9714700000000001</v>
      </c>
      <c r="DY11" s="6">
        <v>-1.9626600000000001</v>
      </c>
      <c r="DZ11" s="6">
        <v>-1.9531099999999999</v>
      </c>
      <c r="EA11" s="6">
        <v>-1.9428300000000001</v>
      </c>
      <c r="EB11" s="6">
        <v>-1.9318599999999999</v>
      </c>
      <c r="EC11" s="6">
        <v>-1.9202300000000001</v>
      </c>
      <c r="ED11" s="6">
        <v>-1.9079600000000001</v>
      </c>
      <c r="EE11" s="6">
        <v>-1.8950800000000001</v>
      </c>
      <c r="EF11" s="6">
        <v>-1.8815999999999999</v>
      </c>
      <c r="EG11" s="6">
        <v>-1.86757</v>
      </c>
      <c r="EH11" s="6">
        <v>-1.853</v>
      </c>
      <c r="EI11" s="6">
        <v>-1.83792</v>
      </c>
      <c r="EJ11" s="6">
        <v>-1.8223400000000001</v>
      </c>
      <c r="EK11" s="6">
        <v>-1.8063100000000001</v>
      </c>
      <c r="EL11" s="6">
        <v>-1.78982</v>
      </c>
      <c r="EM11" s="6">
        <v>-1.7729200000000001</v>
      </c>
      <c r="EN11" s="6">
        <v>-1.75563</v>
      </c>
      <c r="EO11" s="6">
        <v>-1.7379500000000001</v>
      </c>
      <c r="EP11" s="6">
        <v>-1.7199199999999999</v>
      </c>
      <c r="EQ11" s="6">
        <v>-1.7015499999999999</v>
      </c>
      <c r="ER11" s="6">
        <v>-1.6828700000000001</v>
      </c>
      <c r="ES11" s="6">
        <v>-1.6638999999999999</v>
      </c>
      <c r="ET11" s="6">
        <v>-1.6446400000000001</v>
      </c>
      <c r="EU11" s="6">
        <v>-1.62513</v>
      </c>
      <c r="EV11" s="6">
        <v>-1.60538</v>
      </c>
      <c r="EW11" s="6">
        <v>-1.58541</v>
      </c>
      <c r="EX11" s="6">
        <v>-1.56524</v>
      </c>
      <c r="EY11" s="6">
        <v>-1.54487</v>
      </c>
      <c r="EZ11" s="6">
        <v>-1.52434</v>
      </c>
      <c r="FA11" s="6">
        <v>-1.5036499999999999</v>
      </c>
      <c r="FB11" s="6">
        <v>-1.48281</v>
      </c>
      <c r="FC11" s="6">
        <v>-1.4618599999999999</v>
      </c>
      <c r="FD11" s="6">
        <v>-1.44079</v>
      </c>
      <c r="FE11" s="6">
        <v>-1.4196299999999999</v>
      </c>
      <c r="FF11" s="6">
        <v>-1.39839</v>
      </c>
      <c r="FG11" s="6">
        <v>-1.3770800000000001</v>
      </c>
      <c r="FH11" s="6">
        <v>-1.35571</v>
      </c>
      <c r="FI11" s="6">
        <v>-1.3343</v>
      </c>
      <c r="FJ11" s="6">
        <v>-1.31287</v>
      </c>
      <c r="FK11" s="6">
        <v>-1.2914099999999999</v>
      </c>
      <c r="FL11" s="6">
        <v>-1.2699499999999999</v>
      </c>
      <c r="FM11" s="6">
        <v>-1.2484999999999999</v>
      </c>
      <c r="FN11" s="6">
        <v>-1.22706</v>
      </c>
      <c r="FO11" s="6">
        <v>-1.2056500000000001</v>
      </c>
      <c r="FP11" s="6">
        <v>-1.1842699999999999</v>
      </c>
      <c r="FQ11" s="6">
        <v>-1.1629499999999999</v>
      </c>
      <c r="FR11" s="6">
        <v>-1.14168</v>
      </c>
      <c r="FS11" s="6">
        <v>-1.1204799999999999</v>
      </c>
      <c r="FT11" s="6">
        <v>-1.0993599999999999</v>
      </c>
      <c r="FU11" s="6">
        <v>-1.0783199999999999</v>
      </c>
      <c r="FV11" s="6">
        <v>-1.05738</v>
      </c>
      <c r="FW11" s="6">
        <v>-1.03654</v>
      </c>
      <c r="FX11" s="6">
        <v>-1.0158100000000001</v>
      </c>
      <c r="FY11" s="6">
        <v>-0.99519000000000002</v>
      </c>
      <c r="FZ11" s="6">
        <v>-0.97470999999999997</v>
      </c>
      <c r="GA11" s="6">
        <v>-0.95435000000000003</v>
      </c>
    </row>
    <row r="12" spans="1:183" ht="15" x14ac:dyDescent="0.3">
      <c r="A12" s="33">
        <v>0.9</v>
      </c>
      <c r="B12" s="6">
        <v>-0.22222</v>
      </c>
      <c r="C12" s="6">
        <v>-0.22472</v>
      </c>
      <c r="D12" s="6">
        <v>-0.22727</v>
      </c>
      <c r="E12" s="6">
        <v>-0.22989000000000001</v>
      </c>
      <c r="F12" s="6">
        <v>-0.23255999999999999</v>
      </c>
      <c r="G12" s="6">
        <v>-0.23529</v>
      </c>
      <c r="H12" s="6">
        <v>-0.23810000000000001</v>
      </c>
      <c r="I12" s="6">
        <v>-0.24096000000000001</v>
      </c>
      <c r="J12" s="6">
        <v>-0.24390000000000001</v>
      </c>
      <c r="K12" s="6">
        <v>-0.24690999999999999</v>
      </c>
      <c r="L12" s="6">
        <v>-0.25</v>
      </c>
      <c r="M12" s="6">
        <v>-0.25316</v>
      </c>
      <c r="N12" s="6">
        <v>-0.25641000000000003</v>
      </c>
      <c r="O12" s="6">
        <v>-0.25974000000000003</v>
      </c>
      <c r="P12" s="6">
        <v>-0.26316000000000001</v>
      </c>
      <c r="Q12" s="6">
        <v>-0.26667000000000002</v>
      </c>
      <c r="R12" s="6">
        <v>-0.27027000000000001</v>
      </c>
      <c r="S12" s="6">
        <v>-0.27396999999999999</v>
      </c>
      <c r="T12" s="6">
        <v>-0.27778000000000003</v>
      </c>
      <c r="U12" s="6">
        <v>-0.28169</v>
      </c>
      <c r="V12" s="6">
        <v>-0.28571000000000002</v>
      </c>
      <c r="W12" s="6">
        <v>-0.28986000000000001</v>
      </c>
      <c r="X12" s="6">
        <v>-0.29411999999999999</v>
      </c>
      <c r="Y12" s="6">
        <v>-0.29851</v>
      </c>
      <c r="Z12" s="6">
        <v>-0.30303000000000002</v>
      </c>
      <c r="AA12" s="6">
        <v>-0.30769000000000002</v>
      </c>
      <c r="AB12" s="6">
        <v>-0.3125</v>
      </c>
      <c r="AC12" s="6">
        <v>-0.31746000000000002</v>
      </c>
      <c r="AD12" s="6">
        <v>-0.32257999999999998</v>
      </c>
      <c r="AE12" s="6">
        <v>-0.32786999999999999</v>
      </c>
      <c r="AF12" s="6">
        <v>-0.33333000000000002</v>
      </c>
      <c r="AG12" s="6">
        <v>-0.33898</v>
      </c>
      <c r="AH12" s="6">
        <v>-0.34483000000000003</v>
      </c>
      <c r="AI12" s="6">
        <v>-0.35088000000000003</v>
      </c>
      <c r="AJ12" s="6">
        <v>-0.35714000000000001</v>
      </c>
      <c r="AK12" s="6">
        <v>-0.36364000000000002</v>
      </c>
      <c r="AL12" s="6">
        <v>-0.37036999999999998</v>
      </c>
      <c r="AM12" s="6">
        <v>-0.37735999999999997</v>
      </c>
      <c r="AN12" s="6">
        <v>-0.38462000000000002</v>
      </c>
      <c r="AO12" s="6">
        <v>-0.39216000000000001</v>
      </c>
      <c r="AP12" s="6">
        <v>-0.4</v>
      </c>
      <c r="AQ12" s="6">
        <v>-0.40816000000000002</v>
      </c>
      <c r="AR12" s="6">
        <v>-0.41665999999999997</v>
      </c>
      <c r="AS12" s="6">
        <v>-0.42553000000000002</v>
      </c>
      <c r="AT12" s="6">
        <v>-0.43476999999999999</v>
      </c>
      <c r="AU12" s="6">
        <v>-0.44442999999999999</v>
      </c>
      <c r="AV12" s="6">
        <v>-0.45451999999999998</v>
      </c>
      <c r="AW12" s="6">
        <v>-0.46507999999999999</v>
      </c>
      <c r="AX12" s="6">
        <v>-0.47614000000000001</v>
      </c>
      <c r="AY12" s="6">
        <v>-0.48771999999999999</v>
      </c>
      <c r="AZ12" s="6">
        <v>-0.49986000000000003</v>
      </c>
      <c r="BA12" s="6">
        <v>-0.51261000000000001</v>
      </c>
      <c r="BB12" s="6">
        <v>-0.52600000000000002</v>
      </c>
      <c r="BC12" s="6">
        <v>-0.54005999999999998</v>
      </c>
      <c r="BD12" s="6">
        <v>-0.55483000000000005</v>
      </c>
      <c r="BE12" s="6">
        <v>-0.57035000000000002</v>
      </c>
      <c r="BF12" s="6">
        <v>-0.58665999999999996</v>
      </c>
      <c r="BG12" s="6">
        <v>-0.60379000000000005</v>
      </c>
      <c r="BH12" s="6">
        <v>-0.62175000000000002</v>
      </c>
      <c r="BI12" s="6">
        <v>-0.64056000000000002</v>
      </c>
      <c r="BJ12" s="6">
        <v>-0.66022999999999998</v>
      </c>
      <c r="BK12" s="6">
        <v>-0.68074999999999997</v>
      </c>
      <c r="BL12" s="6">
        <v>-0.70208999999999999</v>
      </c>
      <c r="BM12" s="6">
        <v>-0.72421999999999997</v>
      </c>
      <c r="BN12" s="6">
        <v>-0.74709000000000003</v>
      </c>
      <c r="BO12" s="6">
        <v>-0.77061999999999997</v>
      </c>
      <c r="BP12" s="6">
        <v>-0.79471999999999998</v>
      </c>
      <c r="BQ12" s="6">
        <v>-0.81928999999999996</v>
      </c>
      <c r="BR12" s="6">
        <v>-0.84421999999999997</v>
      </c>
      <c r="BS12" s="6">
        <v>-0.86938000000000004</v>
      </c>
      <c r="BT12" s="6">
        <v>-0.89463999999999999</v>
      </c>
      <c r="BU12" s="6">
        <v>-0.91988000000000003</v>
      </c>
      <c r="BV12" s="6">
        <v>-0.94496000000000002</v>
      </c>
      <c r="BW12" s="6">
        <v>-0.96977000000000002</v>
      </c>
      <c r="BX12" s="6">
        <v>-0.99417999999999995</v>
      </c>
      <c r="BY12" s="6">
        <v>-1.0181</v>
      </c>
      <c r="BZ12" s="6">
        <v>-1.0414399999999999</v>
      </c>
      <c r="CA12" s="6">
        <v>-1.06413</v>
      </c>
      <c r="CB12" s="6">
        <v>-1.0860799999999999</v>
      </c>
      <c r="CC12" s="6">
        <v>-1.1072599999999999</v>
      </c>
      <c r="CD12" s="6">
        <v>-1.1276200000000001</v>
      </c>
      <c r="CE12" s="6">
        <v>-1.1471199999999999</v>
      </c>
      <c r="CF12" s="6">
        <v>-1.16574</v>
      </c>
      <c r="CG12" s="6">
        <v>-1.18347</v>
      </c>
      <c r="CH12" s="6">
        <v>-1.20028</v>
      </c>
      <c r="CI12" s="6">
        <v>-1.21618</v>
      </c>
      <c r="CJ12" s="6">
        <v>-1.2311399999999999</v>
      </c>
      <c r="CK12" s="6">
        <v>-1.24516</v>
      </c>
      <c r="CL12" s="6">
        <v>-1.25824</v>
      </c>
      <c r="CM12" s="6">
        <v>-1.27037</v>
      </c>
      <c r="CN12" s="6">
        <v>-1.28155</v>
      </c>
      <c r="CO12" s="6">
        <v>-1.28155</v>
      </c>
      <c r="CP12" s="6">
        <v>-1.2917799999999999</v>
      </c>
      <c r="CQ12" s="6">
        <v>-1.30105</v>
      </c>
      <c r="CR12" s="6">
        <v>-1.3093600000000001</v>
      </c>
      <c r="CS12" s="6">
        <v>-1.31671</v>
      </c>
      <c r="CT12" s="6">
        <v>-1.3230900000000001</v>
      </c>
      <c r="CU12" s="6">
        <v>-1.3285</v>
      </c>
      <c r="CV12" s="6">
        <v>-1.33294</v>
      </c>
      <c r="CW12" s="6">
        <v>-1.3364</v>
      </c>
      <c r="CX12" s="6">
        <v>-1.3388899999999999</v>
      </c>
      <c r="CY12" s="6">
        <v>-1.34039</v>
      </c>
      <c r="CZ12" s="6">
        <v>-1.3409199999999999</v>
      </c>
      <c r="DA12" s="6">
        <v>-1.3404700000000001</v>
      </c>
      <c r="DB12" s="6">
        <v>-1.33904</v>
      </c>
      <c r="DC12" s="6">
        <v>-1.3366499999999999</v>
      </c>
      <c r="DD12" s="6">
        <v>-1.3332999999999999</v>
      </c>
      <c r="DE12" s="6">
        <v>-1.329</v>
      </c>
      <c r="DF12" s="6">
        <v>-1.32376</v>
      </c>
      <c r="DG12" s="6">
        <v>-1.3176000000000001</v>
      </c>
      <c r="DH12" s="6">
        <v>-1.31054</v>
      </c>
      <c r="DI12" s="6">
        <v>-1.3025899999999999</v>
      </c>
      <c r="DJ12" s="6">
        <v>-1.2937700000000001</v>
      </c>
      <c r="DK12" s="6">
        <v>-1.2841199999999999</v>
      </c>
      <c r="DL12" s="6">
        <v>-1.2736499999999999</v>
      </c>
      <c r="DM12" s="6">
        <v>-1.2624</v>
      </c>
      <c r="DN12" s="6">
        <v>-1.2503899999999999</v>
      </c>
      <c r="DO12" s="6">
        <v>-1.23766</v>
      </c>
      <c r="DP12" s="6">
        <v>-1.2242200000000001</v>
      </c>
      <c r="DQ12" s="6">
        <v>-1.2101299999999999</v>
      </c>
      <c r="DR12" s="6">
        <v>-1.19539</v>
      </c>
      <c r="DS12" s="6">
        <v>-1.1800600000000001</v>
      </c>
      <c r="DT12" s="6">
        <v>-1.1641600000000001</v>
      </c>
      <c r="DU12" s="6">
        <v>-1.1477200000000001</v>
      </c>
      <c r="DV12" s="6">
        <v>-1.1307799999999999</v>
      </c>
      <c r="DW12" s="6">
        <v>-1.11337</v>
      </c>
      <c r="DX12" s="6">
        <v>-1.09552</v>
      </c>
      <c r="DY12" s="6">
        <v>-1.0772600000000001</v>
      </c>
      <c r="DZ12" s="6">
        <v>-1.05863</v>
      </c>
      <c r="EA12" s="6">
        <v>-1.03965</v>
      </c>
      <c r="EB12" s="6">
        <v>-1.0203599999999999</v>
      </c>
      <c r="EC12" s="6">
        <v>-1.0007900000000001</v>
      </c>
      <c r="ED12" s="6">
        <v>-0.98096000000000005</v>
      </c>
      <c r="EE12" s="6">
        <v>-0.96089999999999998</v>
      </c>
      <c r="EF12" s="6">
        <v>-0.94064000000000003</v>
      </c>
      <c r="EG12" s="6">
        <v>-0.92022000000000004</v>
      </c>
      <c r="EH12" s="6">
        <v>-0.89964</v>
      </c>
      <c r="EI12" s="6">
        <v>-0.87895000000000001</v>
      </c>
      <c r="EJ12" s="6">
        <v>-0.85816999999999999</v>
      </c>
      <c r="EK12" s="6">
        <v>-0.83731</v>
      </c>
      <c r="EL12" s="6">
        <v>-0.81640999999999997</v>
      </c>
      <c r="EM12" s="6">
        <v>-0.79547999999999996</v>
      </c>
      <c r="EN12" s="6">
        <v>-0.77454999999999996</v>
      </c>
      <c r="EO12" s="6">
        <v>-0.75363999999999998</v>
      </c>
      <c r="EP12" s="6">
        <v>-0.73277000000000003</v>
      </c>
      <c r="EQ12" s="6">
        <v>-0.71194999999999997</v>
      </c>
      <c r="ER12" s="6">
        <v>-0.69121999999999995</v>
      </c>
      <c r="ES12" s="6">
        <v>-0.67057999999999995</v>
      </c>
      <c r="ET12" s="6">
        <v>-0.65005999999999997</v>
      </c>
      <c r="EU12" s="6">
        <v>-0.62966</v>
      </c>
      <c r="EV12" s="6">
        <v>-0.60941000000000001</v>
      </c>
      <c r="EW12" s="6">
        <v>-0.58933000000000002</v>
      </c>
      <c r="EX12" s="6">
        <v>-0.56942000000000004</v>
      </c>
      <c r="EY12" s="6">
        <v>-0.54969999999999997</v>
      </c>
      <c r="EZ12" s="6">
        <v>-0.53019000000000005</v>
      </c>
      <c r="FA12" s="6">
        <v>-0.51088999999999996</v>
      </c>
      <c r="FB12" s="6">
        <v>-0.49181999999999998</v>
      </c>
      <c r="FC12" s="6">
        <v>-0.47299000000000002</v>
      </c>
      <c r="FD12" s="6">
        <v>-0.45440000000000003</v>
      </c>
      <c r="FE12" s="6">
        <v>-0.43608000000000002</v>
      </c>
      <c r="FF12" s="6">
        <v>-0.41803000000000001</v>
      </c>
      <c r="FG12" s="6">
        <v>-0.40026</v>
      </c>
      <c r="FH12" s="6">
        <v>-0.38277</v>
      </c>
      <c r="FI12" s="6">
        <v>-0.36557000000000001</v>
      </c>
      <c r="FJ12" s="6">
        <v>-0.34867999999999999</v>
      </c>
      <c r="FK12" s="6">
        <v>-0.33209</v>
      </c>
      <c r="FL12" s="6">
        <v>-0.31581999999999999</v>
      </c>
      <c r="FM12" s="6">
        <v>-0.29986000000000002</v>
      </c>
      <c r="FN12" s="6">
        <v>-0.28421999999999997</v>
      </c>
      <c r="FO12" s="6">
        <v>-0.26891999999999999</v>
      </c>
      <c r="FP12" s="6">
        <v>-0.25394</v>
      </c>
      <c r="FQ12" s="6">
        <v>-0.23929</v>
      </c>
      <c r="FR12" s="6">
        <v>-0.22498000000000001</v>
      </c>
      <c r="FS12" s="6">
        <v>-0.21101</v>
      </c>
      <c r="FT12" s="6">
        <v>-0.19736999999999999</v>
      </c>
      <c r="FU12" s="6">
        <v>-0.18407999999999999</v>
      </c>
      <c r="FV12" s="6">
        <v>-0.17113</v>
      </c>
      <c r="FW12" s="6">
        <v>-0.15851000000000001</v>
      </c>
      <c r="FX12" s="6">
        <v>-0.14624000000000001</v>
      </c>
      <c r="FY12" s="6">
        <v>-0.13431000000000001</v>
      </c>
      <c r="FZ12" s="6">
        <v>-0.12272</v>
      </c>
      <c r="GA12" s="6">
        <v>-0.11146</v>
      </c>
    </row>
    <row r="13" spans="1:183" ht="15" x14ac:dyDescent="0.3">
      <c r="A13" s="33">
        <v>0.8</v>
      </c>
      <c r="B13" s="6">
        <v>-0.22222</v>
      </c>
      <c r="C13" s="6">
        <v>-0.22472</v>
      </c>
      <c r="D13" s="6">
        <v>-0.22727</v>
      </c>
      <c r="E13" s="6">
        <v>-0.22989000000000001</v>
      </c>
      <c r="F13" s="6">
        <v>-0.23255999999999999</v>
      </c>
      <c r="G13" s="6">
        <v>-0.23529</v>
      </c>
      <c r="H13" s="6">
        <v>-0.23810000000000001</v>
      </c>
      <c r="I13" s="6">
        <v>-0.24096000000000001</v>
      </c>
      <c r="J13" s="6">
        <v>-0.24390000000000001</v>
      </c>
      <c r="K13" s="6">
        <v>-0.24690999999999999</v>
      </c>
      <c r="L13" s="6">
        <v>-0.25</v>
      </c>
      <c r="M13" s="6">
        <v>-0.25316</v>
      </c>
      <c r="N13" s="6">
        <v>-0.25641000000000003</v>
      </c>
      <c r="O13" s="6">
        <v>-0.25974000000000003</v>
      </c>
      <c r="P13" s="6">
        <v>-0.26316000000000001</v>
      </c>
      <c r="Q13" s="6">
        <v>-0.26667000000000002</v>
      </c>
      <c r="R13" s="6">
        <v>-0.27027000000000001</v>
      </c>
      <c r="S13" s="6">
        <v>-0.27396999999999999</v>
      </c>
      <c r="T13" s="6">
        <v>-0.27778000000000003</v>
      </c>
      <c r="U13" s="6">
        <v>-0.28169</v>
      </c>
      <c r="V13" s="6">
        <v>-0.28571000000000002</v>
      </c>
      <c r="W13" s="6">
        <v>-0.28986000000000001</v>
      </c>
      <c r="X13" s="6">
        <v>-0.29411999999999999</v>
      </c>
      <c r="Y13" s="6">
        <v>-0.29851</v>
      </c>
      <c r="Z13" s="6">
        <v>-0.30303000000000002</v>
      </c>
      <c r="AA13" s="6">
        <v>-0.30769000000000002</v>
      </c>
      <c r="AB13" s="6">
        <v>-0.3125</v>
      </c>
      <c r="AC13" s="6">
        <v>-0.31746000000000002</v>
      </c>
      <c r="AD13" s="6">
        <v>-0.32257999999999998</v>
      </c>
      <c r="AE13" s="6">
        <v>-0.32786999999999999</v>
      </c>
      <c r="AF13" s="6">
        <v>-0.33333000000000002</v>
      </c>
      <c r="AG13" s="6">
        <v>-0.33898</v>
      </c>
      <c r="AH13" s="6">
        <v>-0.34483000000000003</v>
      </c>
      <c r="AI13" s="6">
        <v>-0.35087000000000002</v>
      </c>
      <c r="AJ13" s="6">
        <v>-0.35714000000000001</v>
      </c>
      <c r="AK13" s="6">
        <v>-0.36363000000000001</v>
      </c>
      <c r="AL13" s="6">
        <v>-0.37036000000000002</v>
      </c>
      <c r="AM13" s="6">
        <v>-0.37734000000000001</v>
      </c>
      <c r="AN13" s="6">
        <v>-0.38457999999999998</v>
      </c>
      <c r="AO13" s="6">
        <v>-0.39211000000000001</v>
      </c>
      <c r="AP13" s="6">
        <v>-0.39993000000000001</v>
      </c>
      <c r="AQ13" s="6">
        <v>-0.40805999999999998</v>
      </c>
      <c r="AR13" s="6">
        <v>-0.41652</v>
      </c>
      <c r="AS13" s="6">
        <v>-0.42531999999999998</v>
      </c>
      <c r="AT13" s="6">
        <v>-0.43447999999999998</v>
      </c>
      <c r="AU13" s="6">
        <v>-0.44402000000000003</v>
      </c>
      <c r="AV13" s="6">
        <v>-0.45395000000000002</v>
      </c>
      <c r="AW13" s="6">
        <v>-0.46428000000000003</v>
      </c>
      <c r="AX13" s="6">
        <v>-0.47504000000000002</v>
      </c>
      <c r="AY13" s="6">
        <v>-0.48621999999999999</v>
      </c>
      <c r="AZ13" s="6">
        <v>-0.49784</v>
      </c>
      <c r="BA13" s="6">
        <v>-0.50990000000000002</v>
      </c>
      <c r="BB13" s="6">
        <v>-0.52239999999999998</v>
      </c>
      <c r="BC13" s="6">
        <v>-0.53532999999999997</v>
      </c>
      <c r="BD13" s="6">
        <v>-0.54866999999999999</v>
      </c>
      <c r="BE13" s="6">
        <v>-0.56242000000000003</v>
      </c>
      <c r="BF13" s="6">
        <v>-0.57652000000000003</v>
      </c>
      <c r="BG13" s="6">
        <v>-0.59096000000000004</v>
      </c>
      <c r="BH13" s="6">
        <v>-0.60567000000000004</v>
      </c>
      <c r="BI13" s="6">
        <v>-0.62060000000000004</v>
      </c>
      <c r="BJ13" s="6">
        <v>-0.63568999999999998</v>
      </c>
      <c r="BK13" s="6">
        <v>-0.65085999999999999</v>
      </c>
      <c r="BL13" s="6">
        <v>-0.66603000000000001</v>
      </c>
      <c r="BM13" s="6">
        <v>-0.68110999999999999</v>
      </c>
      <c r="BN13" s="6">
        <v>-0.69601999999999997</v>
      </c>
      <c r="BO13" s="6">
        <v>-0.71067000000000002</v>
      </c>
      <c r="BP13" s="6">
        <v>-0.72494999999999998</v>
      </c>
      <c r="BQ13" s="6">
        <v>-0.73880000000000001</v>
      </c>
      <c r="BR13" s="6">
        <v>-0.75210999999999995</v>
      </c>
      <c r="BS13" s="6">
        <v>-0.76482000000000006</v>
      </c>
      <c r="BT13" s="6">
        <v>-0.77685999999999999</v>
      </c>
      <c r="BU13" s="6">
        <v>-0.78815999999999997</v>
      </c>
      <c r="BV13" s="6">
        <v>-0.79867999999999995</v>
      </c>
      <c r="BW13" s="6">
        <v>-0.80837000000000003</v>
      </c>
      <c r="BX13" s="6">
        <v>-0.81720000000000004</v>
      </c>
      <c r="BY13" s="6">
        <v>-0.82516</v>
      </c>
      <c r="BZ13" s="6">
        <v>-0.83223000000000003</v>
      </c>
      <c r="CA13" s="6">
        <v>-0.83840999999999999</v>
      </c>
      <c r="CB13" s="6">
        <v>-0.84369000000000005</v>
      </c>
      <c r="CC13" s="6">
        <v>-0.84809000000000001</v>
      </c>
      <c r="CD13" s="6">
        <v>-0.85160999999999998</v>
      </c>
      <c r="CE13" s="6">
        <v>-0.85426000000000002</v>
      </c>
      <c r="CF13" s="6">
        <v>-0.85607</v>
      </c>
      <c r="CG13" s="6">
        <v>-0.85702999999999996</v>
      </c>
      <c r="CH13" s="6">
        <v>-0.85718000000000005</v>
      </c>
      <c r="CI13" s="6">
        <v>-0.85653000000000001</v>
      </c>
      <c r="CJ13" s="6">
        <v>-0.85507999999999995</v>
      </c>
      <c r="CK13" s="6">
        <v>-0.85285</v>
      </c>
      <c r="CL13" s="6">
        <v>-0.84985999999999995</v>
      </c>
      <c r="CM13" s="6">
        <v>-0.84611000000000003</v>
      </c>
      <c r="CN13" s="6">
        <v>-0.84162000000000003</v>
      </c>
      <c r="CO13" s="6">
        <v>-0.84162000000000003</v>
      </c>
      <c r="CP13" s="6">
        <v>-0.83638999999999997</v>
      </c>
      <c r="CQ13" s="6">
        <v>-0.83043999999999996</v>
      </c>
      <c r="CR13" s="6">
        <v>-0.82377</v>
      </c>
      <c r="CS13" s="6">
        <v>-0.81637999999999999</v>
      </c>
      <c r="CT13" s="6">
        <v>-0.80828999999999995</v>
      </c>
      <c r="CU13" s="6">
        <v>-0.79949999999999999</v>
      </c>
      <c r="CV13" s="6">
        <v>-0.79001999999999994</v>
      </c>
      <c r="CW13" s="6">
        <v>-0.77986</v>
      </c>
      <c r="CX13" s="6">
        <v>-0.76902000000000004</v>
      </c>
      <c r="CY13" s="6">
        <v>-0.75751999999999997</v>
      </c>
      <c r="CZ13" s="6">
        <v>-0.74536999999999998</v>
      </c>
      <c r="DA13" s="6">
        <v>-0.73257000000000005</v>
      </c>
      <c r="DB13" s="6">
        <v>-0.71914999999999996</v>
      </c>
      <c r="DC13" s="6">
        <v>-0.70511999999999997</v>
      </c>
      <c r="DD13" s="6">
        <v>-0.6905</v>
      </c>
      <c r="DE13" s="6">
        <v>-0.67532000000000003</v>
      </c>
      <c r="DF13" s="6">
        <v>-0.65959000000000001</v>
      </c>
      <c r="DG13" s="6">
        <v>-0.64334999999999998</v>
      </c>
      <c r="DH13" s="6">
        <v>-0.62661999999999995</v>
      </c>
      <c r="DI13" s="6">
        <v>-0.60943999999999998</v>
      </c>
      <c r="DJ13" s="6">
        <v>-0.59182999999999997</v>
      </c>
      <c r="DK13" s="6">
        <v>-0.57382999999999995</v>
      </c>
      <c r="DL13" s="6">
        <v>-0.55549000000000004</v>
      </c>
      <c r="DM13" s="6">
        <v>-0.53683000000000003</v>
      </c>
      <c r="DN13" s="6">
        <v>-0.51788999999999996</v>
      </c>
      <c r="DO13" s="6">
        <v>-0.49872</v>
      </c>
      <c r="DP13" s="6">
        <v>-0.47933999999999999</v>
      </c>
      <c r="DQ13" s="6">
        <v>-0.45979999999999999</v>
      </c>
      <c r="DR13" s="6">
        <v>-0.44014999999999999</v>
      </c>
      <c r="DS13" s="6">
        <v>-0.4204</v>
      </c>
      <c r="DT13" s="6">
        <v>-0.40061000000000002</v>
      </c>
      <c r="DU13" s="6">
        <v>-0.38080999999999998</v>
      </c>
      <c r="DV13" s="6">
        <v>-0.36104000000000003</v>
      </c>
      <c r="DW13" s="6">
        <v>-0.34133000000000002</v>
      </c>
      <c r="DX13" s="6">
        <v>-0.32171</v>
      </c>
      <c r="DY13" s="6">
        <v>-0.30223</v>
      </c>
      <c r="DZ13" s="6">
        <v>-0.28289999999999998</v>
      </c>
      <c r="EA13" s="6">
        <v>-0.26375999999999999</v>
      </c>
      <c r="EB13" s="6">
        <v>-0.24484</v>
      </c>
      <c r="EC13" s="6">
        <v>-0.22617000000000001</v>
      </c>
      <c r="ED13" s="6">
        <v>-0.20777000000000001</v>
      </c>
      <c r="EE13" s="6">
        <v>-0.18967000000000001</v>
      </c>
      <c r="EF13" s="6">
        <v>-0.17188999999999999</v>
      </c>
      <c r="EG13" s="6">
        <v>-0.15445</v>
      </c>
      <c r="EH13" s="6">
        <v>-0.13736999999999999</v>
      </c>
      <c r="EI13" s="6">
        <v>-0.12067</v>
      </c>
      <c r="EJ13" s="6">
        <v>-0.10435999999999999</v>
      </c>
      <c r="EK13" s="6">
        <v>-8.8469999999999993E-2</v>
      </c>
      <c r="EL13" s="6">
        <v>-7.2999999999999995E-2</v>
      </c>
      <c r="EM13" s="6">
        <v>-5.7979999999999997E-2</v>
      </c>
      <c r="EN13" s="6">
        <v>-4.3400000000000001E-2</v>
      </c>
      <c r="EO13" s="6">
        <v>-2.9270000000000001E-2</v>
      </c>
      <c r="EP13" s="6">
        <v>-1.5610000000000001E-2</v>
      </c>
      <c r="EQ13" s="6">
        <v>-2.4299999999999999E-3</v>
      </c>
      <c r="ER13" s="6">
        <v>1.0279999999999999E-2</v>
      </c>
      <c r="ES13" s="6">
        <v>2.2519999999999998E-2</v>
      </c>
      <c r="ET13" s="6">
        <v>3.4270000000000002E-2</v>
      </c>
      <c r="EU13" s="6">
        <v>4.5530000000000001E-2</v>
      </c>
      <c r="EV13" s="6">
        <v>5.6320000000000002E-2</v>
      </c>
      <c r="EW13" s="6">
        <v>6.6619999999999999E-2</v>
      </c>
      <c r="EX13" s="6">
        <v>7.6450000000000004E-2</v>
      </c>
      <c r="EY13" s="6">
        <v>8.5800000000000001E-2</v>
      </c>
      <c r="EZ13" s="6">
        <v>9.4689999999999996E-2</v>
      </c>
      <c r="FA13" s="6">
        <v>0.10310999999999999</v>
      </c>
      <c r="FB13" s="6">
        <v>0.11107</v>
      </c>
      <c r="FC13" s="6">
        <v>0.11859</v>
      </c>
      <c r="FD13" s="6">
        <v>0.12565999999999999</v>
      </c>
      <c r="FE13" s="6">
        <v>0.13231000000000001</v>
      </c>
      <c r="FF13" s="6">
        <v>0.13852999999999999</v>
      </c>
      <c r="FG13" s="6">
        <v>0.14434</v>
      </c>
      <c r="FH13" s="6">
        <v>0.14974999999999999</v>
      </c>
      <c r="FI13" s="6">
        <v>0.15478</v>
      </c>
      <c r="FJ13" s="6">
        <v>0.15942000000000001</v>
      </c>
      <c r="FK13" s="6">
        <v>0.16370999999999999</v>
      </c>
      <c r="FL13" s="6">
        <v>0.16764000000000001</v>
      </c>
      <c r="FM13" s="6">
        <v>0.17122999999999999</v>
      </c>
      <c r="FN13" s="6">
        <v>0.17449999999999999</v>
      </c>
      <c r="FO13" s="6">
        <v>0.17746000000000001</v>
      </c>
      <c r="FP13" s="6">
        <v>0.18012</v>
      </c>
      <c r="FQ13" s="6">
        <v>0.18249000000000001</v>
      </c>
      <c r="FR13" s="6">
        <v>0.18459</v>
      </c>
      <c r="FS13" s="6">
        <v>0.18643000000000001</v>
      </c>
      <c r="FT13" s="6">
        <v>0.18803</v>
      </c>
      <c r="FU13" s="6">
        <v>0.18939</v>
      </c>
      <c r="FV13" s="6">
        <v>0.19053999999999999</v>
      </c>
      <c r="FW13" s="6">
        <v>0.19147</v>
      </c>
      <c r="FX13" s="6">
        <v>0.19220999999999999</v>
      </c>
      <c r="FY13" s="6">
        <v>0.19277</v>
      </c>
      <c r="FZ13" s="6">
        <v>0.19316</v>
      </c>
      <c r="GA13" s="6">
        <v>0.19338</v>
      </c>
    </row>
    <row r="14" spans="1:183" ht="15" x14ac:dyDescent="0.3">
      <c r="A14" s="33">
        <v>0.7</v>
      </c>
      <c r="B14" s="6">
        <v>-0.22222</v>
      </c>
      <c r="C14" s="6">
        <v>-0.22472</v>
      </c>
      <c r="D14" s="6">
        <v>-0.22727</v>
      </c>
      <c r="E14" s="6">
        <v>-0.22989000000000001</v>
      </c>
      <c r="F14" s="6">
        <v>-0.23255999999999999</v>
      </c>
      <c r="G14" s="6">
        <v>-0.23529</v>
      </c>
      <c r="H14" s="6">
        <v>-0.23810000000000001</v>
      </c>
      <c r="I14" s="6">
        <v>-0.24096000000000001</v>
      </c>
      <c r="J14" s="6">
        <v>-0.24390000000000001</v>
      </c>
      <c r="K14" s="6">
        <v>-0.24690999999999999</v>
      </c>
      <c r="L14" s="6">
        <v>-0.25</v>
      </c>
      <c r="M14" s="6">
        <v>-0.25316</v>
      </c>
      <c r="N14" s="6">
        <v>-0.25641000000000003</v>
      </c>
      <c r="O14" s="6">
        <v>-0.25974000000000003</v>
      </c>
      <c r="P14" s="6">
        <v>-0.26316000000000001</v>
      </c>
      <c r="Q14" s="6">
        <v>-0.26667000000000002</v>
      </c>
      <c r="R14" s="6">
        <v>-0.27027000000000001</v>
      </c>
      <c r="S14" s="6">
        <v>-0.27396999999999999</v>
      </c>
      <c r="T14" s="6">
        <v>-0.27778000000000003</v>
      </c>
      <c r="U14" s="6">
        <v>-0.28169</v>
      </c>
      <c r="V14" s="6">
        <v>-0.28571000000000002</v>
      </c>
      <c r="W14" s="6">
        <v>-0.28985</v>
      </c>
      <c r="X14" s="6">
        <v>-0.29411999999999999</v>
      </c>
      <c r="Y14" s="6">
        <v>-0.29849999999999999</v>
      </c>
      <c r="Z14" s="6">
        <v>-0.30303000000000002</v>
      </c>
      <c r="AA14" s="6">
        <v>-0.30769000000000002</v>
      </c>
      <c r="AB14" s="6">
        <v>-0.31248999999999999</v>
      </c>
      <c r="AC14" s="6">
        <v>-0.31745000000000001</v>
      </c>
      <c r="AD14" s="6">
        <v>-0.32256000000000001</v>
      </c>
      <c r="AE14" s="6">
        <v>-0.32784000000000002</v>
      </c>
      <c r="AF14" s="6">
        <v>-0.33329999999999999</v>
      </c>
      <c r="AG14" s="6">
        <v>-0.33893000000000001</v>
      </c>
      <c r="AH14" s="6">
        <v>-0.34476000000000001</v>
      </c>
      <c r="AI14" s="6">
        <v>-0.35077999999999998</v>
      </c>
      <c r="AJ14" s="6">
        <v>-0.35699999999999998</v>
      </c>
      <c r="AK14" s="6">
        <v>-0.36345</v>
      </c>
      <c r="AL14" s="6">
        <v>-0.37010999999999999</v>
      </c>
      <c r="AM14" s="6">
        <v>-0.37701000000000001</v>
      </c>
      <c r="AN14" s="6">
        <v>-0.38413999999999998</v>
      </c>
      <c r="AO14" s="6">
        <v>-0.39151999999999998</v>
      </c>
      <c r="AP14" s="6">
        <v>-0.39913999999999999</v>
      </c>
      <c r="AQ14" s="6">
        <v>-0.40703</v>
      </c>
      <c r="AR14" s="6">
        <v>-0.41516999999999998</v>
      </c>
      <c r="AS14" s="6">
        <v>-0.42357</v>
      </c>
      <c r="AT14" s="6">
        <v>-0.43223</v>
      </c>
      <c r="AU14" s="6">
        <v>-0.44113999999999998</v>
      </c>
      <c r="AV14" s="6">
        <v>-0.45029000000000002</v>
      </c>
      <c r="AW14" s="6">
        <v>-0.45967000000000002</v>
      </c>
      <c r="AX14" s="6">
        <v>-0.46927000000000002</v>
      </c>
      <c r="AY14" s="6">
        <v>-0.47905999999999999</v>
      </c>
      <c r="AZ14" s="6">
        <v>-0.48902000000000001</v>
      </c>
      <c r="BA14" s="6">
        <v>-0.49911</v>
      </c>
      <c r="BB14" s="6">
        <v>-0.50929000000000002</v>
      </c>
      <c r="BC14" s="6">
        <v>-0.51951999999999998</v>
      </c>
      <c r="BD14" s="6">
        <v>-0.52975000000000005</v>
      </c>
      <c r="BE14" s="6">
        <v>-0.53993000000000002</v>
      </c>
      <c r="BF14" s="6">
        <v>-0.55000000000000004</v>
      </c>
      <c r="BG14" s="6">
        <v>-0.55989</v>
      </c>
      <c r="BH14" s="6">
        <v>-0.56952999999999998</v>
      </c>
      <c r="BI14" s="6">
        <v>-0.57887</v>
      </c>
      <c r="BJ14" s="6">
        <v>-0.58782999999999996</v>
      </c>
      <c r="BK14" s="6">
        <v>-0.59633999999999998</v>
      </c>
      <c r="BL14" s="6">
        <v>-0.60433999999999999</v>
      </c>
      <c r="BM14" s="6">
        <v>-0.61175999999999997</v>
      </c>
      <c r="BN14" s="6">
        <v>-0.61853999999999998</v>
      </c>
      <c r="BO14" s="6">
        <v>-0.62463000000000002</v>
      </c>
      <c r="BP14" s="6">
        <v>-0.62999000000000005</v>
      </c>
      <c r="BQ14" s="6">
        <v>-0.63456000000000001</v>
      </c>
      <c r="BR14" s="6">
        <v>-0.63832999999999995</v>
      </c>
      <c r="BS14" s="6">
        <v>-0.64124999999999999</v>
      </c>
      <c r="BT14" s="6">
        <v>-0.64332999999999996</v>
      </c>
      <c r="BU14" s="6">
        <v>-0.64453000000000005</v>
      </c>
      <c r="BV14" s="6">
        <v>-0.64488000000000001</v>
      </c>
      <c r="BW14" s="6">
        <v>-0.64436000000000004</v>
      </c>
      <c r="BX14" s="6">
        <v>-0.64300000000000002</v>
      </c>
      <c r="BY14" s="6">
        <v>-0.64080000000000004</v>
      </c>
      <c r="BZ14" s="6">
        <v>-0.63778999999999997</v>
      </c>
      <c r="CA14" s="6">
        <v>-0.63400000000000001</v>
      </c>
      <c r="CB14" s="6">
        <v>-0.62944</v>
      </c>
      <c r="CC14" s="6">
        <v>-0.62414999999999998</v>
      </c>
      <c r="CD14" s="6">
        <v>-0.61814999999999998</v>
      </c>
      <c r="CE14" s="6">
        <v>-0.61146</v>
      </c>
      <c r="CF14" s="6">
        <v>-0.60411999999999999</v>
      </c>
      <c r="CG14" s="6">
        <v>-0.59614999999999996</v>
      </c>
      <c r="CH14" s="6">
        <v>-0.58757000000000004</v>
      </c>
      <c r="CI14" s="6">
        <v>-0.57840000000000003</v>
      </c>
      <c r="CJ14" s="6">
        <v>-0.56867000000000001</v>
      </c>
      <c r="CK14" s="6">
        <v>-0.55839000000000005</v>
      </c>
      <c r="CL14" s="6">
        <v>-0.54757</v>
      </c>
      <c r="CM14" s="6">
        <v>-0.53624000000000005</v>
      </c>
      <c r="CN14" s="6">
        <v>-0.52439999999999998</v>
      </c>
      <c r="CO14" s="6">
        <v>-0.52439999999999998</v>
      </c>
      <c r="CP14" s="6">
        <v>-0.51207000000000003</v>
      </c>
      <c r="CQ14" s="6">
        <v>-0.49926999999999999</v>
      </c>
      <c r="CR14" s="6">
        <v>-0.48599999999999999</v>
      </c>
      <c r="CS14" s="6">
        <v>-0.47227999999999998</v>
      </c>
      <c r="CT14" s="6">
        <v>-0.45812000000000003</v>
      </c>
      <c r="CU14" s="6">
        <v>-0.44352000000000003</v>
      </c>
      <c r="CV14" s="6">
        <v>-0.42851</v>
      </c>
      <c r="CW14" s="6">
        <v>-0.41309000000000001</v>
      </c>
      <c r="CX14" s="6">
        <v>-0.39728999999999998</v>
      </c>
      <c r="CY14" s="6">
        <v>-0.38111</v>
      </c>
      <c r="CZ14" s="6">
        <v>-0.36458000000000002</v>
      </c>
      <c r="DA14" s="6">
        <v>-0.34771999999999997</v>
      </c>
      <c r="DB14" s="6">
        <v>-0.33054</v>
      </c>
      <c r="DC14" s="6">
        <v>-0.31307000000000001</v>
      </c>
      <c r="DD14" s="6">
        <v>-0.29535</v>
      </c>
      <c r="DE14" s="6">
        <v>-0.27739999999999998</v>
      </c>
      <c r="DF14" s="6">
        <v>-0.25924999999999998</v>
      </c>
      <c r="DG14" s="6">
        <v>-0.24093999999999999</v>
      </c>
      <c r="DH14" s="6">
        <v>-0.2225</v>
      </c>
      <c r="DI14" s="6">
        <v>-0.20397000000000001</v>
      </c>
      <c r="DJ14" s="6">
        <v>-0.18540000000000001</v>
      </c>
      <c r="DK14" s="6">
        <v>-0.16682</v>
      </c>
      <c r="DL14" s="6">
        <v>-0.14827000000000001</v>
      </c>
      <c r="DM14" s="6">
        <v>-0.12978999999999999</v>
      </c>
      <c r="DN14" s="6">
        <v>-0.11143</v>
      </c>
      <c r="DO14" s="6">
        <v>-9.3229999999999993E-2</v>
      </c>
      <c r="DP14" s="6">
        <v>-7.5230000000000005E-2</v>
      </c>
      <c r="DQ14" s="6">
        <v>-5.7459999999999997E-2</v>
      </c>
      <c r="DR14" s="6">
        <v>-3.9969999999999999E-2</v>
      </c>
      <c r="DS14" s="6">
        <v>-2.2790000000000001E-2</v>
      </c>
      <c r="DT14" s="6">
        <v>-5.96E-3</v>
      </c>
      <c r="DU14" s="6">
        <v>1.0500000000000001E-2</v>
      </c>
      <c r="DV14" s="6">
        <v>2.6540000000000001E-2</v>
      </c>
      <c r="DW14" s="6">
        <v>4.215E-2</v>
      </c>
      <c r="DX14" s="6">
        <v>5.7299999999999997E-2</v>
      </c>
      <c r="DY14" s="6">
        <v>7.195E-2</v>
      </c>
      <c r="DZ14" s="6">
        <v>8.6099999999999996E-2</v>
      </c>
      <c r="EA14" s="6">
        <v>9.9720000000000003E-2</v>
      </c>
      <c r="EB14" s="6">
        <v>0.11279</v>
      </c>
      <c r="EC14" s="6">
        <v>0.12529999999999999</v>
      </c>
      <c r="ED14" s="6">
        <v>0.13725000000000001</v>
      </c>
      <c r="EE14" s="6">
        <v>0.14860999999999999</v>
      </c>
      <c r="EF14" s="6">
        <v>0.15939</v>
      </c>
      <c r="EG14" s="6">
        <v>0.16958000000000001</v>
      </c>
      <c r="EH14" s="6">
        <v>0.17918000000000001</v>
      </c>
      <c r="EI14" s="6">
        <v>0.18819</v>
      </c>
      <c r="EJ14" s="6">
        <v>0.19661000000000001</v>
      </c>
      <c r="EK14" s="6">
        <v>0.20446</v>
      </c>
      <c r="EL14" s="6">
        <v>0.21171999999999999</v>
      </c>
      <c r="EM14" s="6">
        <v>0.21843000000000001</v>
      </c>
      <c r="EN14" s="6">
        <v>0.22458</v>
      </c>
      <c r="EO14" s="6">
        <v>0.23019000000000001</v>
      </c>
      <c r="EP14" s="6">
        <v>0.23527000000000001</v>
      </c>
      <c r="EQ14" s="6">
        <v>0.23984</v>
      </c>
      <c r="ER14" s="6">
        <v>0.24390999999999999</v>
      </c>
      <c r="ES14" s="6">
        <v>0.24751000000000001</v>
      </c>
      <c r="ET14" s="6">
        <v>0.25063999999999997</v>
      </c>
      <c r="EU14" s="6">
        <v>0.25334000000000001</v>
      </c>
      <c r="EV14" s="6">
        <v>0.25562000000000001</v>
      </c>
      <c r="EW14" s="6">
        <v>0.25750000000000001</v>
      </c>
      <c r="EX14" s="6">
        <v>0.25901000000000002</v>
      </c>
      <c r="EY14" s="6">
        <v>0.26014999999999999</v>
      </c>
      <c r="EZ14" s="6">
        <v>0.26096999999999998</v>
      </c>
      <c r="FA14" s="6">
        <v>0.26146000000000003</v>
      </c>
      <c r="FB14" s="6">
        <v>0.26167000000000001</v>
      </c>
      <c r="FC14" s="6">
        <v>0.2616</v>
      </c>
      <c r="FD14" s="6">
        <v>0.26128000000000001</v>
      </c>
      <c r="FE14" s="6">
        <v>0.26072000000000001</v>
      </c>
      <c r="FF14" s="6">
        <v>0.25995000000000001</v>
      </c>
      <c r="FG14" s="6">
        <v>0.25899</v>
      </c>
      <c r="FH14" s="6">
        <v>0.25785000000000002</v>
      </c>
      <c r="FI14" s="6">
        <v>0.25653999999999999</v>
      </c>
      <c r="FJ14" s="6">
        <v>0.25509999999999999</v>
      </c>
      <c r="FK14" s="6">
        <v>0.25352000000000002</v>
      </c>
      <c r="FL14" s="6">
        <v>0.25183</v>
      </c>
      <c r="FM14" s="6">
        <v>0.25004999999999999</v>
      </c>
      <c r="FN14" s="6">
        <v>0.24817</v>
      </c>
      <c r="FO14" s="6">
        <v>0.24621999999999999</v>
      </c>
      <c r="FP14" s="6">
        <v>0.24421000000000001</v>
      </c>
      <c r="FQ14" s="6">
        <v>0.24213999999999999</v>
      </c>
      <c r="FR14" s="6">
        <v>0.24002999999999999</v>
      </c>
      <c r="FS14" s="6">
        <v>0.23788000000000001</v>
      </c>
      <c r="FT14" s="6">
        <v>0.23571</v>
      </c>
      <c r="FU14" s="6">
        <v>0.23352000000000001</v>
      </c>
      <c r="FV14" s="6">
        <v>0.23132</v>
      </c>
      <c r="FW14" s="6">
        <v>0.22911000000000001</v>
      </c>
      <c r="FX14" s="6">
        <v>0.22689999999999999</v>
      </c>
      <c r="FY14" s="6">
        <v>0.22469</v>
      </c>
      <c r="FZ14" s="6">
        <v>0.22248999999999999</v>
      </c>
      <c r="GA14" s="6">
        <v>0.2203</v>
      </c>
    </row>
    <row r="15" spans="1:183" ht="15" x14ac:dyDescent="0.3">
      <c r="A15" s="33">
        <v>0.6</v>
      </c>
      <c r="B15" s="6">
        <v>-0.22222</v>
      </c>
      <c r="C15" s="6">
        <v>-0.22472</v>
      </c>
      <c r="D15" s="6">
        <v>-0.22727</v>
      </c>
      <c r="E15" s="6">
        <v>-0.22988</v>
      </c>
      <c r="F15" s="6">
        <v>-0.23255999999999999</v>
      </c>
      <c r="G15" s="6">
        <v>-0.23529</v>
      </c>
      <c r="H15" s="6">
        <v>-0.23810000000000001</v>
      </c>
      <c r="I15" s="6">
        <v>-0.24096000000000001</v>
      </c>
      <c r="J15" s="6">
        <v>-0.24390000000000001</v>
      </c>
      <c r="K15" s="6">
        <v>-0.24690999999999999</v>
      </c>
      <c r="L15" s="6">
        <v>-0.25</v>
      </c>
      <c r="M15" s="6">
        <v>-0.25316</v>
      </c>
      <c r="N15" s="6">
        <v>-0.25641000000000003</v>
      </c>
      <c r="O15" s="6">
        <v>-0.25974000000000003</v>
      </c>
      <c r="P15" s="6">
        <v>-0.26315</v>
      </c>
      <c r="Q15" s="6">
        <v>-0.26666000000000001</v>
      </c>
      <c r="R15" s="6">
        <v>-0.27026</v>
      </c>
      <c r="S15" s="6">
        <v>-0.27395999999999998</v>
      </c>
      <c r="T15" s="6">
        <v>-0.27776000000000001</v>
      </c>
      <c r="U15" s="6">
        <v>-0.28166999999999998</v>
      </c>
      <c r="V15" s="6">
        <v>-0.28569</v>
      </c>
      <c r="W15" s="6">
        <v>-0.28982000000000002</v>
      </c>
      <c r="X15" s="6">
        <v>-0.29407</v>
      </c>
      <c r="Y15" s="6">
        <v>-0.29843999999999998</v>
      </c>
      <c r="Z15" s="6">
        <v>-0.30293999999999999</v>
      </c>
      <c r="AA15" s="6">
        <v>-0.30757000000000001</v>
      </c>
      <c r="AB15" s="6">
        <v>-0.31234000000000001</v>
      </c>
      <c r="AC15" s="6">
        <v>-0.31724000000000002</v>
      </c>
      <c r="AD15" s="6">
        <v>-0.32229999999999998</v>
      </c>
      <c r="AE15" s="6">
        <v>-0.32750000000000001</v>
      </c>
      <c r="AF15" s="6">
        <v>-0.33284999999999998</v>
      </c>
      <c r="AG15" s="6">
        <v>-0.33835999999999999</v>
      </c>
      <c r="AH15" s="6">
        <v>-0.34401999999999999</v>
      </c>
      <c r="AI15" s="6">
        <v>-0.34984999999999999</v>
      </c>
      <c r="AJ15" s="6">
        <v>-0.35582999999999998</v>
      </c>
      <c r="AK15" s="6">
        <v>-0.36196</v>
      </c>
      <c r="AL15" s="6">
        <v>-0.36825000000000002</v>
      </c>
      <c r="AM15" s="6">
        <v>-0.37469000000000002</v>
      </c>
      <c r="AN15" s="6">
        <v>-0.38127</v>
      </c>
      <c r="AO15" s="6">
        <v>-0.38799</v>
      </c>
      <c r="AP15" s="6">
        <v>-0.39482</v>
      </c>
      <c r="AQ15" s="6">
        <v>-0.40177000000000002</v>
      </c>
      <c r="AR15" s="6">
        <v>-0.4088</v>
      </c>
      <c r="AS15" s="6">
        <v>-0.41589999999999999</v>
      </c>
      <c r="AT15" s="6">
        <v>-0.42304000000000003</v>
      </c>
      <c r="AU15" s="6">
        <v>-0.43020000000000003</v>
      </c>
      <c r="AV15" s="6">
        <v>-0.43734000000000001</v>
      </c>
      <c r="AW15" s="6">
        <v>-0.44441999999999998</v>
      </c>
      <c r="AX15" s="6">
        <v>-0.45141999999999999</v>
      </c>
      <c r="AY15" s="6">
        <v>-0.45828000000000002</v>
      </c>
      <c r="AZ15" s="6">
        <v>-0.46495999999999998</v>
      </c>
      <c r="BA15" s="6">
        <v>-0.47141</v>
      </c>
      <c r="BB15" s="6">
        <v>-0.47758</v>
      </c>
      <c r="BC15" s="6">
        <v>-0.48342000000000002</v>
      </c>
      <c r="BD15" s="6">
        <v>-0.48887999999999998</v>
      </c>
      <c r="BE15" s="6">
        <v>-0.49391000000000002</v>
      </c>
      <c r="BF15" s="6">
        <v>-0.49843999999999999</v>
      </c>
      <c r="BG15" s="6">
        <v>-0.50244</v>
      </c>
      <c r="BH15" s="6">
        <v>-0.50585000000000002</v>
      </c>
      <c r="BI15" s="6">
        <v>-0.50863000000000003</v>
      </c>
      <c r="BJ15" s="6">
        <v>-0.51073000000000002</v>
      </c>
      <c r="BK15" s="6">
        <v>-0.51212000000000002</v>
      </c>
      <c r="BL15" s="6">
        <v>-0.51275999999999999</v>
      </c>
      <c r="BM15" s="6">
        <v>-0.51263000000000003</v>
      </c>
      <c r="BN15" s="6">
        <v>-0.51171</v>
      </c>
      <c r="BO15" s="6">
        <v>-0.50999000000000005</v>
      </c>
      <c r="BP15" s="6">
        <v>-0.50744</v>
      </c>
      <c r="BQ15" s="6">
        <v>-0.50409000000000004</v>
      </c>
      <c r="BR15" s="6">
        <v>-0.49991000000000002</v>
      </c>
      <c r="BS15" s="6">
        <v>-0.49493999999999999</v>
      </c>
      <c r="BT15" s="6">
        <v>-0.48916999999999999</v>
      </c>
      <c r="BU15" s="6">
        <v>-0.48265000000000002</v>
      </c>
      <c r="BV15" s="6">
        <v>-0.47538000000000002</v>
      </c>
      <c r="BW15" s="6">
        <v>-0.46739000000000003</v>
      </c>
      <c r="BX15" s="6">
        <v>-0.45873000000000003</v>
      </c>
      <c r="BY15" s="6">
        <v>-0.44941999999999999</v>
      </c>
      <c r="BZ15" s="6">
        <v>-0.43948999999999999</v>
      </c>
      <c r="CA15" s="6">
        <v>-0.42898999999999998</v>
      </c>
      <c r="CB15" s="6">
        <v>-0.41793999999999998</v>
      </c>
      <c r="CC15" s="6">
        <v>-0.40638000000000002</v>
      </c>
      <c r="CD15" s="6">
        <v>-0.39434000000000002</v>
      </c>
      <c r="CE15" s="6">
        <v>-0.38185999999999998</v>
      </c>
      <c r="CF15" s="6">
        <v>-0.36889</v>
      </c>
      <c r="CG15" s="6">
        <v>-0.35565000000000002</v>
      </c>
      <c r="CH15" s="6">
        <v>-0.34198000000000001</v>
      </c>
      <c r="CI15" s="6">
        <v>-0.32795999999999997</v>
      </c>
      <c r="CJ15" s="6">
        <v>-0.31362000000000001</v>
      </c>
      <c r="CK15" s="6">
        <v>-0.29897000000000001</v>
      </c>
      <c r="CL15" s="6">
        <v>-0.28403</v>
      </c>
      <c r="CM15" s="6">
        <v>-0.26882</v>
      </c>
      <c r="CN15" s="6">
        <v>-0.25335000000000002</v>
      </c>
      <c r="CO15" s="6">
        <v>-0.25335000000000002</v>
      </c>
      <c r="CP15" s="6">
        <v>-0.23763000000000001</v>
      </c>
      <c r="CQ15" s="6">
        <v>-0.22167999999999999</v>
      </c>
      <c r="CR15" s="6">
        <v>-0.20552000000000001</v>
      </c>
      <c r="CS15" s="6">
        <v>-0.18915999999999999</v>
      </c>
      <c r="CT15" s="6">
        <v>-0.17261000000000001</v>
      </c>
      <c r="CU15" s="6">
        <v>-0.15589</v>
      </c>
      <c r="CV15" s="6">
        <v>-0.13900999999999999</v>
      </c>
      <c r="CW15" s="6">
        <v>-0.12199</v>
      </c>
      <c r="CX15" s="6">
        <v>-0.10485999999999999</v>
      </c>
      <c r="CY15" s="6">
        <v>-8.763E-2</v>
      </c>
      <c r="CZ15" s="6">
        <v>-7.0319999999999994E-2</v>
      </c>
      <c r="DA15" s="6">
        <v>-5.2970000000000003E-2</v>
      </c>
      <c r="DB15" s="6">
        <v>-3.56E-2</v>
      </c>
      <c r="DC15" s="6">
        <v>-1.8239999999999999E-2</v>
      </c>
      <c r="DD15" s="6">
        <v>-9.2000000000000003E-4</v>
      </c>
      <c r="DE15" s="6">
        <v>1.6310000000000002E-2</v>
      </c>
      <c r="DF15" s="6">
        <v>3.3439999999999998E-2</v>
      </c>
      <c r="DG15" s="6">
        <v>5.04E-2</v>
      </c>
      <c r="DH15" s="6">
        <v>6.7180000000000004E-2</v>
      </c>
      <c r="DI15" s="6">
        <v>8.3710000000000007E-2</v>
      </c>
      <c r="DJ15" s="6">
        <v>9.9970000000000003E-2</v>
      </c>
      <c r="DK15" s="6">
        <v>0.1159</v>
      </c>
      <c r="DL15" s="6">
        <v>0.13148000000000001</v>
      </c>
      <c r="DM15" s="6">
        <v>0.14665</v>
      </c>
      <c r="DN15" s="6">
        <v>0.16138</v>
      </c>
      <c r="DO15" s="6">
        <v>0.17563999999999999</v>
      </c>
      <c r="DP15" s="6">
        <v>0.18939</v>
      </c>
      <c r="DQ15" s="6">
        <v>0.20258999999999999</v>
      </c>
      <c r="DR15" s="6">
        <v>0.21523</v>
      </c>
      <c r="DS15" s="6">
        <v>0.22725999999999999</v>
      </c>
      <c r="DT15" s="6">
        <v>0.23868</v>
      </c>
      <c r="DU15" s="6">
        <v>0.24945999999999999</v>
      </c>
      <c r="DV15" s="6">
        <v>0.25957999999999998</v>
      </c>
      <c r="DW15" s="6">
        <v>0.26904</v>
      </c>
      <c r="DX15" s="6">
        <v>0.27782000000000001</v>
      </c>
      <c r="DY15" s="6">
        <v>0.28592000000000001</v>
      </c>
      <c r="DZ15" s="6">
        <v>0.29335</v>
      </c>
      <c r="EA15" s="6">
        <v>0.30009999999999998</v>
      </c>
      <c r="EB15" s="6">
        <v>0.30617</v>
      </c>
      <c r="EC15" s="6">
        <v>0.31158999999999998</v>
      </c>
      <c r="ED15" s="6">
        <v>0.31635000000000002</v>
      </c>
      <c r="EE15" s="6">
        <v>0.32049</v>
      </c>
      <c r="EF15" s="6">
        <v>0.32400000000000001</v>
      </c>
      <c r="EG15" s="6">
        <v>0.32693</v>
      </c>
      <c r="EH15" s="6">
        <v>0.32928000000000002</v>
      </c>
      <c r="EI15" s="6">
        <v>0.33107999999999999</v>
      </c>
      <c r="EJ15" s="6">
        <v>0.33235999999999999</v>
      </c>
      <c r="EK15" s="6">
        <v>0.33315</v>
      </c>
      <c r="EL15" s="6">
        <v>0.33346999999999999</v>
      </c>
      <c r="EM15" s="6">
        <v>0.33335999999999999</v>
      </c>
      <c r="EN15" s="6">
        <v>0.33284000000000002</v>
      </c>
      <c r="EO15" s="6">
        <v>0.33194000000000001</v>
      </c>
      <c r="EP15" s="6">
        <v>0.33069999999999999</v>
      </c>
      <c r="EQ15" s="6">
        <v>0.32913999999999999</v>
      </c>
      <c r="ER15" s="6">
        <v>0.32729000000000003</v>
      </c>
      <c r="ES15" s="6">
        <v>0.32518999999999998</v>
      </c>
      <c r="ET15" s="6">
        <v>0.32285000000000003</v>
      </c>
      <c r="EU15" s="6">
        <v>0.32030999999999998</v>
      </c>
      <c r="EV15" s="6">
        <v>0.31758999999999998</v>
      </c>
      <c r="EW15" s="6">
        <v>0.31472</v>
      </c>
      <c r="EX15" s="6">
        <v>0.31170999999999999</v>
      </c>
      <c r="EY15" s="6">
        <v>0.30858999999999998</v>
      </c>
      <c r="EZ15" s="6">
        <v>0.30537999999999998</v>
      </c>
      <c r="FA15" s="6">
        <v>0.30209000000000003</v>
      </c>
      <c r="FB15" s="6">
        <v>0.29875000000000002</v>
      </c>
      <c r="FC15" s="6">
        <v>0.29537000000000002</v>
      </c>
      <c r="FD15" s="6">
        <v>0.29196</v>
      </c>
      <c r="FE15" s="6">
        <v>0.28854000000000002</v>
      </c>
      <c r="FF15" s="6">
        <v>0.28510999999999997</v>
      </c>
      <c r="FG15" s="6">
        <v>0.28169</v>
      </c>
      <c r="FH15" s="6">
        <v>0.27828999999999998</v>
      </c>
      <c r="FI15" s="6">
        <v>0.27490999999999999</v>
      </c>
      <c r="FJ15" s="6">
        <v>0.27156000000000002</v>
      </c>
      <c r="FK15" s="6">
        <v>0.26824999999999999</v>
      </c>
      <c r="FL15" s="6">
        <v>0.26496999999999998</v>
      </c>
      <c r="FM15" s="6">
        <v>0.26174999999999998</v>
      </c>
      <c r="FN15" s="6">
        <v>0.25857000000000002</v>
      </c>
      <c r="FO15" s="6">
        <v>0.25544</v>
      </c>
      <c r="FP15" s="6">
        <v>0.25235999999999997</v>
      </c>
      <c r="FQ15" s="6">
        <v>0.24933</v>
      </c>
      <c r="FR15" s="6">
        <v>0.24637000000000001</v>
      </c>
      <c r="FS15" s="6">
        <v>0.24345</v>
      </c>
      <c r="FT15" s="6">
        <v>0.24060000000000001</v>
      </c>
      <c r="FU15" s="6">
        <v>0.23779</v>
      </c>
      <c r="FV15" s="6">
        <v>0.23505000000000001</v>
      </c>
      <c r="FW15" s="6">
        <v>0.23236000000000001</v>
      </c>
      <c r="FX15" s="6">
        <v>0.22972000000000001</v>
      </c>
      <c r="FY15" s="6">
        <v>0.22714000000000001</v>
      </c>
      <c r="FZ15" s="6">
        <v>0.22461</v>
      </c>
      <c r="GA15" s="6">
        <v>0.22214</v>
      </c>
    </row>
    <row r="16" spans="1:183" ht="15" x14ac:dyDescent="0.3">
      <c r="A16" s="10">
        <v>0.57037599999999999</v>
      </c>
      <c r="B16" s="6">
        <v>-0.22222</v>
      </c>
      <c r="C16" s="6">
        <v>-0.22472</v>
      </c>
      <c r="D16" s="6">
        <v>-0.22727</v>
      </c>
      <c r="E16" s="6">
        <v>-0.22988</v>
      </c>
      <c r="F16" s="6">
        <v>-0.23255999999999999</v>
      </c>
      <c r="G16" s="6">
        <v>-0.23529</v>
      </c>
      <c r="H16" s="6">
        <v>-0.23809</v>
      </c>
      <c r="I16" s="6">
        <v>-0.24096000000000001</v>
      </c>
      <c r="J16" s="6">
        <v>-0.24390000000000001</v>
      </c>
      <c r="K16" s="6">
        <v>-0.24690999999999999</v>
      </c>
      <c r="L16" s="6">
        <v>-0.25</v>
      </c>
      <c r="M16" s="6">
        <v>-0.25316</v>
      </c>
      <c r="N16" s="6">
        <v>-0.25640000000000002</v>
      </c>
      <c r="O16" s="6">
        <v>-0.25973000000000002</v>
      </c>
      <c r="P16" s="6">
        <v>-0.26315</v>
      </c>
      <c r="Q16" s="6">
        <v>-0.26665</v>
      </c>
      <c r="R16" s="6">
        <v>-0.27024999999999999</v>
      </c>
      <c r="S16" s="6">
        <v>-0.27394000000000002</v>
      </c>
      <c r="T16" s="6">
        <v>-0.27773999999999999</v>
      </c>
      <c r="U16" s="6">
        <v>-0.28164</v>
      </c>
      <c r="V16" s="6">
        <v>-0.28565000000000002</v>
      </c>
      <c r="W16" s="6">
        <v>-0.28977000000000003</v>
      </c>
      <c r="X16" s="6">
        <v>-0.29399999999999998</v>
      </c>
      <c r="Y16" s="6">
        <v>-0.29835</v>
      </c>
      <c r="Z16" s="6">
        <v>-0.30282999999999999</v>
      </c>
      <c r="AA16" s="6">
        <v>-0.30742999999999998</v>
      </c>
      <c r="AB16" s="6">
        <v>-0.31215999999999999</v>
      </c>
      <c r="AC16" s="6">
        <v>-0.31702000000000002</v>
      </c>
      <c r="AD16" s="6">
        <v>-0.32201999999999997</v>
      </c>
      <c r="AE16" s="6">
        <v>-0.32715</v>
      </c>
      <c r="AF16" s="6">
        <v>-0.33241999999999999</v>
      </c>
      <c r="AG16" s="6">
        <v>-0.33782000000000001</v>
      </c>
      <c r="AH16" s="6">
        <v>-0.34336</v>
      </c>
      <c r="AI16" s="6">
        <v>-0.34903000000000001</v>
      </c>
      <c r="AJ16" s="6">
        <v>-0.35483999999999999</v>
      </c>
      <c r="AK16" s="6">
        <v>-0.36076000000000003</v>
      </c>
      <c r="AL16" s="6">
        <v>-0.36680000000000001</v>
      </c>
      <c r="AM16" s="6">
        <v>-0.37295</v>
      </c>
      <c r="AN16" s="6">
        <v>-0.37919000000000003</v>
      </c>
      <c r="AO16" s="6">
        <v>-0.38551999999999997</v>
      </c>
      <c r="AP16" s="6">
        <v>-0.39190000000000003</v>
      </c>
      <c r="AQ16" s="6">
        <v>-0.39833000000000002</v>
      </c>
      <c r="AR16" s="6">
        <v>-0.40477000000000002</v>
      </c>
      <c r="AS16" s="6">
        <v>-0.41121000000000002</v>
      </c>
      <c r="AT16" s="6">
        <v>-0.41760999999999998</v>
      </c>
      <c r="AU16" s="6">
        <v>-0.42393999999999998</v>
      </c>
      <c r="AV16" s="6">
        <v>-0.43015999999999999</v>
      </c>
      <c r="AW16" s="6">
        <v>-0.43623000000000001</v>
      </c>
      <c r="AX16" s="6">
        <v>-0.44212000000000001</v>
      </c>
      <c r="AY16" s="6">
        <v>-0.44777</v>
      </c>
      <c r="AZ16" s="6">
        <v>-0.45313999999999999</v>
      </c>
      <c r="BA16" s="6">
        <v>-0.45818999999999999</v>
      </c>
      <c r="BB16" s="6">
        <v>-0.46285999999999999</v>
      </c>
      <c r="BC16" s="6">
        <v>-0.46711000000000003</v>
      </c>
      <c r="BD16" s="6">
        <v>-0.47088000000000002</v>
      </c>
      <c r="BE16" s="6">
        <v>-0.47413</v>
      </c>
      <c r="BF16" s="6">
        <v>-0.47682000000000002</v>
      </c>
      <c r="BG16" s="6">
        <v>-0.47889999999999999</v>
      </c>
      <c r="BH16" s="6">
        <v>-0.48032999999999998</v>
      </c>
      <c r="BI16" s="6">
        <v>-0.48107</v>
      </c>
      <c r="BJ16" s="6">
        <v>-0.48109000000000002</v>
      </c>
      <c r="BK16" s="6">
        <v>-0.48037000000000002</v>
      </c>
      <c r="BL16" s="6">
        <v>-0.47887999999999997</v>
      </c>
      <c r="BM16" s="6">
        <v>-0.47660000000000002</v>
      </c>
      <c r="BN16" s="6">
        <v>-0.47353000000000001</v>
      </c>
      <c r="BO16" s="6">
        <v>-0.46966000000000002</v>
      </c>
      <c r="BP16" s="6">
        <v>-0.46499000000000001</v>
      </c>
      <c r="BQ16" s="6">
        <v>-0.45952999999999999</v>
      </c>
      <c r="BR16" s="6">
        <v>-0.45329000000000003</v>
      </c>
      <c r="BS16" s="6">
        <v>-0.44628000000000001</v>
      </c>
      <c r="BT16" s="6">
        <v>-0.43853999999999999</v>
      </c>
      <c r="BU16" s="6">
        <v>-0.43008000000000002</v>
      </c>
      <c r="BV16" s="6">
        <v>-0.42094999999999999</v>
      </c>
      <c r="BW16" s="6">
        <v>-0.41116000000000003</v>
      </c>
      <c r="BX16" s="6">
        <v>-0.40075</v>
      </c>
      <c r="BY16" s="6">
        <v>-0.38977000000000001</v>
      </c>
      <c r="BZ16" s="6">
        <v>-0.37824000000000002</v>
      </c>
      <c r="CA16" s="6">
        <v>-0.36620000000000003</v>
      </c>
      <c r="CB16" s="6">
        <v>-0.35370000000000001</v>
      </c>
      <c r="CC16" s="6">
        <v>-0.34075</v>
      </c>
      <c r="CD16" s="6">
        <v>-0.32740000000000002</v>
      </c>
      <c r="CE16" s="6">
        <v>-0.31368000000000001</v>
      </c>
      <c r="CF16" s="6">
        <v>-0.29960999999999999</v>
      </c>
      <c r="CG16" s="6">
        <v>-0.28516000000000002</v>
      </c>
      <c r="CH16" s="6">
        <v>-0.27046999999999999</v>
      </c>
      <c r="CI16" s="6">
        <v>-0.25557999999999997</v>
      </c>
      <c r="CJ16" s="6">
        <v>-0.24037</v>
      </c>
      <c r="CK16" s="6">
        <v>-0.22492000000000001</v>
      </c>
      <c r="CL16" s="6">
        <v>-0.20924999999999999</v>
      </c>
      <c r="CM16" s="6">
        <v>-0.19339000000000001</v>
      </c>
      <c r="CN16" s="6">
        <v>-0.17732999999999999</v>
      </c>
      <c r="CO16" s="6">
        <v>-0.17732999999999999</v>
      </c>
      <c r="CP16" s="6">
        <v>-0.16111</v>
      </c>
      <c r="CQ16" s="6">
        <v>-0.14471999999999999</v>
      </c>
      <c r="CR16" s="6">
        <v>-0.12820000000000001</v>
      </c>
      <c r="CS16" s="6">
        <v>-0.11154</v>
      </c>
      <c r="CT16" s="6">
        <v>-9.4780000000000003E-2</v>
      </c>
      <c r="CU16" s="6">
        <v>-7.7909999999999993E-2</v>
      </c>
      <c r="CV16" s="6">
        <v>-6.0970000000000003E-2</v>
      </c>
      <c r="CW16" s="6">
        <v>-4.3970000000000002E-2</v>
      </c>
      <c r="CX16" s="6">
        <v>-2.6929999999999999E-2</v>
      </c>
      <c r="CY16" s="6">
        <v>-9.8700000000000003E-3</v>
      </c>
      <c r="CZ16" s="6">
        <v>7.1900000000000002E-3</v>
      </c>
      <c r="DA16" s="6">
        <v>2.4209999999999999E-2</v>
      </c>
      <c r="DB16" s="6">
        <v>4.1160000000000002E-2</v>
      </c>
      <c r="DC16" s="6">
        <v>5.8029999999999998E-2</v>
      </c>
      <c r="DD16" s="6">
        <v>7.4759999999999993E-2</v>
      </c>
      <c r="DE16" s="6">
        <v>9.1319999999999998E-2</v>
      </c>
      <c r="DF16" s="6">
        <v>0.10768999999999999</v>
      </c>
      <c r="DG16" s="6">
        <v>0.12381</v>
      </c>
      <c r="DH16" s="6">
        <v>0.13963999999999999</v>
      </c>
      <c r="DI16" s="6">
        <v>0.15515999999999999</v>
      </c>
      <c r="DJ16" s="6">
        <v>0.17030000000000001</v>
      </c>
      <c r="DK16" s="6">
        <v>0.18504000000000001</v>
      </c>
      <c r="DL16" s="6">
        <v>0.19933000000000001</v>
      </c>
      <c r="DM16" s="6">
        <v>0.21312999999999999</v>
      </c>
      <c r="DN16" s="6">
        <v>0.22642000000000001</v>
      </c>
      <c r="DO16" s="6">
        <v>0.23915</v>
      </c>
      <c r="DP16" s="6">
        <v>0.25129000000000001</v>
      </c>
      <c r="DQ16" s="6">
        <v>0.26282</v>
      </c>
      <c r="DR16" s="6">
        <v>0.27372000000000002</v>
      </c>
      <c r="DS16" s="6">
        <v>0.28394999999999998</v>
      </c>
      <c r="DT16" s="6">
        <v>0.29350999999999999</v>
      </c>
      <c r="DU16" s="6">
        <v>0.30237999999999998</v>
      </c>
      <c r="DV16" s="6">
        <v>0.31054999999999999</v>
      </c>
      <c r="DW16" s="6">
        <v>0.31802000000000002</v>
      </c>
      <c r="DX16" s="6">
        <v>0.32479000000000002</v>
      </c>
      <c r="DY16" s="6">
        <v>0.33084999999999998</v>
      </c>
      <c r="DZ16" s="6">
        <v>0.33622999999999997</v>
      </c>
      <c r="EA16" s="6">
        <v>0.34092</v>
      </c>
      <c r="EB16" s="6">
        <v>0.34494000000000002</v>
      </c>
      <c r="EC16" s="6">
        <v>0.34831000000000001</v>
      </c>
      <c r="ED16" s="6">
        <v>0.35104999999999997</v>
      </c>
      <c r="EE16" s="6">
        <v>0.35317999999999999</v>
      </c>
      <c r="EF16" s="6">
        <v>0.35472999999999999</v>
      </c>
      <c r="EG16" s="6">
        <v>0.35571999999999998</v>
      </c>
      <c r="EH16" s="6">
        <v>0.35619000000000001</v>
      </c>
      <c r="EI16" s="6">
        <v>0.35615999999999998</v>
      </c>
      <c r="EJ16" s="6">
        <v>0.35566999999999999</v>
      </c>
      <c r="EK16" s="6">
        <v>0.35475000000000001</v>
      </c>
      <c r="EL16" s="6">
        <v>0.35343000000000002</v>
      </c>
      <c r="EM16" s="6">
        <v>0.35174</v>
      </c>
      <c r="EN16" s="6">
        <v>0.34971999999999998</v>
      </c>
      <c r="EO16" s="6">
        <v>0.34739999999999999</v>
      </c>
      <c r="EP16" s="6">
        <v>0.34481000000000001</v>
      </c>
      <c r="EQ16" s="6">
        <v>0.34198000000000001</v>
      </c>
      <c r="ER16" s="6">
        <v>0.33894999999999997</v>
      </c>
      <c r="ES16" s="6">
        <v>0.33572999999999997</v>
      </c>
      <c r="ET16" s="6">
        <v>0.33235999999999999</v>
      </c>
      <c r="EU16" s="6">
        <v>0.32885999999999999</v>
      </c>
      <c r="EV16" s="6">
        <v>0.32524999999999998</v>
      </c>
      <c r="EW16" s="6">
        <v>0.32155</v>
      </c>
      <c r="EX16" s="6">
        <v>0.31780000000000003</v>
      </c>
      <c r="EY16" s="6">
        <v>0.31398999999999999</v>
      </c>
      <c r="EZ16" s="6">
        <v>0.31015999999999999</v>
      </c>
      <c r="FA16" s="6">
        <v>0.30631000000000003</v>
      </c>
      <c r="FB16" s="6">
        <v>0.30246000000000001</v>
      </c>
      <c r="FC16" s="6">
        <v>0.29862</v>
      </c>
      <c r="FD16" s="6">
        <v>0.29480000000000001</v>
      </c>
      <c r="FE16" s="6">
        <v>0.29100999999999999</v>
      </c>
      <c r="FF16" s="6">
        <v>0.28726000000000002</v>
      </c>
      <c r="FG16" s="6">
        <v>0.28355000000000002</v>
      </c>
      <c r="FH16" s="6">
        <v>0.27989999999999998</v>
      </c>
      <c r="FI16" s="6">
        <v>0.27628999999999998</v>
      </c>
      <c r="FJ16" s="6">
        <v>0.27273999999999998</v>
      </c>
      <c r="FK16" s="6">
        <v>0.26926</v>
      </c>
      <c r="FL16" s="6">
        <v>0.26584000000000002</v>
      </c>
      <c r="FM16" s="6">
        <v>0.26247999999999999</v>
      </c>
      <c r="FN16" s="6">
        <v>0.25918999999999998</v>
      </c>
      <c r="FO16" s="6">
        <v>0.25596000000000002</v>
      </c>
      <c r="FP16" s="6">
        <v>0.25280000000000002</v>
      </c>
      <c r="FQ16" s="6">
        <v>0.24970000000000001</v>
      </c>
      <c r="FR16" s="6">
        <v>0.24667</v>
      </c>
      <c r="FS16" s="6">
        <v>0.24371000000000001</v>
      </c>
      <c r="FT16" s="6">
        <v>0.24081</v>
      </c>
      <c r="FU16" s="6">
        <v>0.23796999999999999</v>
      </c>
      <c r="FV16" s="6">
        <v>0.23519999999999999</v>
      </c>
      <c r="FW16" s="6">
        <v>0.23247999999999999</v>
      </c>
      <c r="FX16" s="6">
        <v>0.22982</v>
      </c>
      <c r="FY16" s="6">
        <v>0.22722000000000001</v>
      </c>
      <c r="FZ16" s="6">
        <v>0.22467999999999999</v>
      </c>
      <c r="GA16" s="6">
        <v>0.22219</v>
      </c>
    </row>
    <row r="17" spans="1:183" ht="15" x14ac:dyDescent="0.3">
      <c r="A17" s="33">
        <v>0.5</v>
      </c>
      <c r="B17" s="6">
        <v>-0.22222</v>
      </c>
      <c r="C17" s="6">
        <v>-0.22472</v>
      </c>
      <c r="D17" s="6">
        <v>-0.22727</v>
      </c>
      <c r="E17" s="6">
        <v>-0.22988</v>
      </c>
      <c r="F17" s="6">
        <v>-0.23255000000000001</v>
      </c>
      <c r="G17" s="6">
        <v>-0.23527999999999999</v>
      </c>
      <c r="H17" s="6">
        <v>-0.23808000000000001</v>
      </c>
      <c r="I17" s="6">
        <v>-0.24095</v>
      </c>
      <c r="J17" s="6">
        <v>-0.24388000000000001</v>
      </c>
      <c r="K17" s="6">
        <v>-0.24689</v>
      </c>
      <c r="L17" s="6">
        <v>-0.24995999999999999</v>
      </c>
      <c r="M17" s="6">
        <v>-0.25312000000000001</v>
      </c>
      <c r="N17" s="6">
        <v>-0.25635000000000002</v>
      </c>
      <c r="O17" s="6">
        <v>-0.25966</v>
      </c>
      <c r="P17" s="6">
        <v>-0.26306000000000002</v>
      </c>
      <c r="Q17" s="6">
        <v>-0.26654</v>
      </c>
      <c r="R17" s="6">
        <v>-0.27010000000000001</v>
      </c>
      <c r="S17" s="6">
        <v>-0.27376</v>
      </c>
      <c r="T17" s="6">
        <v>-0.27750999999999998</v>
      </c>
      <c r="U17" s="6">
        <v>-0.28134999999999999</v>
      </c>
      <c r="V17" s="6">
        <v>-0.28527999999999998</v>
      </c>
      <c r="W17" s="6">
        <v>-0.28931000000000001</v>
      </c>
      <c r="X17" s="6">
        <v>-0.29343999999999998</v>
      </c>
      <c r="Y17" s="6">
        <v>-0.29765999999999998</v>
      </c>
      <c r="Z17" s="6">
        <v>-0.30198000000000003</v>
      </c>
      <c r="AA17" s="6">
        <v>-0.30639</v>
      </c>
      <c r="AB17" s="6">
        <v>-0.31090000000000001</v>
      </c>
      <c r="AC17" s="6">
        <v>-0.31548999999999999</v>
      </c>
      <c r="AD17" s="6">
        <v>-0.32016</v>
      </c>
      <c r="AE17" s="6">
        <v>-0.32491999999999999</v>
      </c>
      <c r="AF17" s="6">
        <v>-0.32973999999999998</v>
      </c>
      <c r="AG17" s="6">
        <v>-0.33462999999999998</v>
      </c>
      <c r="AH17" s="6">
        <v>-0.33956999999999998</v>
      </c>
      <c r="AI17" s="6">
        <v>-0.34455000000000002</v>
      </c>
      <c r="AJ17" s="6">
        <v>-0.34955000000000003</v>
      </c>
      <c r="AK17" s="6">
        <v>-0.35455999999999999</v>
      </c>
      <c r="AL17" s="6">
        <v>-0.35955999999999999</v>
      </c>
      <c r="AM17" s="6">
        <v>-0.36453000000000002</v>
      </c>
      <c r="AN17" s="6">
        <v>-0.36945</v>
      </c>
      <c r="AO17" s="6">
        <v>-0.37428</v>
      </c>
      <c r="AP17" s="6">
        <v>-0.37901000000000001</v>
      </c>
      <c r="AQ17" s="6">
        <v>-0.38358999999999999</v>
      </c>
      <c r="AR17" s="6">
        <v>-0.38800000000000001</v>
      </c>
      <c r="AS17" s="6">
        <v>-0.39221</v>
      </c>
      <c r="AT17" s="6">
        <v>-0.39617000000000002</v>
      </c>
      <c r="AU17" s="6">
        <v>-0.39984999999999998</v>
      </c>
      <c r="AV17" s="6">
        <v>-0.40321000000000001</v>
      </c>
      <c r="AW17" s="6">
        <v>-0.40621000000000002</v>
      </c>
      <c r="AX17" s="6">
        <v>-0.40881000000000001</v>
      </c>
      <c r="AY17" s="6">
        <v>-0.41097</v>
      </c>
      <c r="AZ17" s="6">
        <v>-0.41265000000000002</v>
      </c>
      <c r="BA17" s="6">
        <v>-0.41381000000000001</v>
      </c>
      <c r="BB17" s="6">
        <v>-0.41441</v>
      </c>
      <c r="BC17" s="6">
        <v>-0.41442000000000001</v>
      </c>
      <c r="BD17" s="6">
        <v>-0.41381000000000001</v>
      </c>
      <c r="BE17" s="6">
        <v>-0.41253000000000001</v>
      </c>
      <c r="BF17" s="6">
        <v>-0.41058</v>
      </c>
      <c r="BG17" s="6">
        <v>-0.40792</v>
      </c>
      <c r="BH17" s="6">
        <v>-0.40454000000000001</v>
      </c>
      <c r="BI17" s="6">
        <v>-0.40040999999999999</v>
      </c>
      <c r="BJ17" s="6">
        <v>-0.39554</v>
      </c>
      <c r="BK17" s="6">
        <v>-0.38990999999999998</v>
      </c>
      <c r="BL17" s="6">
        <v>-0.38352999999999998</v>
      </c>
      <c r="BM17" s="6">
        <v>-0.37640000000000001</v>
      </c>
      <c r="BN17" s="6">
        <v>-0.36852000000000001</v>
      </c>
      <c r="BO17" s="6">
        <v>-0.35992000000000002</v>
      </c>
      <c r="BP17" s="6">
        <v>-0.35061999999999999</v>
      </c>
      <c r="BQ17" s="6">
        <v>-0.34062999999999999</v>
      </c>
      <c r="BR17" s="6">
        <v>-0.32999000000000001</v>
      </c>
      <c r="BS17" s="6">
        <v>-0.31872</v>
      </c>
      <c r="BT17" s="6">
        <v>-0.30685000000000001</v>
      </c>
      <c r="BU17" s="6">
        <v>-0.29443000000000003</v>
      </c>
      <c r="BV17" s="6">
        <v>-0.28149999999999997</v>
      </c>
      <c r="BW17" s="6">
        <v>-0.26807999999999998</v>
      </c>
      <c r="BX17" s="6">
        <v>-0.25422</v>
      </c>
      <c r="BY17" s="6">
        <v>-0.23996000000000001</v>
      </c>
      <c r="BZ17" s="6">
        <v>-0.22534999999999999</v>
      </c>
      <c r="CA17" s="6">
        <v>-0.2104</v>
      </c>
      <c r="CB17" s="6">
        <v>-0.19517000000000001</v>
      </c>
      <c r="CC17" s="6">
        <v>-0.17968000000000001</v>
      </c>
      <c r="CD17" s="6">
        <v>-0.16397</v>
      </c>
      <c r="CE17" s="6">
        <v>-0.14807000000000001</v>
      </c>
      <c r="CF17" s="6">
        <v>-0.13199</v>
      </c>
      <c r="CG17" s="6">
        <v>-0.11577999999999999</v>
      </c>
      <c r="CH17" s="6">
        <v>-9.9449999999999997E-2</v>
      </c>
      <c r="CI17" s="6">
        <v>-8.3019999999999997E-2</v>
      </c>
      <c r="CJ17" s="6">
        <v>-6.651E-2</v>
      </c>
      <c r="CK17" s="6">
        <v>-4.9930000000000002E-2</v>
      </c>
      <c r="CL17" s="6">
        <v>-3.3250000000000002E-2</v>
      </c>
      <c r="CM17" s="6">
        <v>-1.6619999999999999E-2</v>
      </c>
      <c r="CN17" s="6">
        <v>0</v>
      </c>
      <c r="CO17" s="6">
        <v>0</v>
      </c>
      <c r="CP17" s="6">
        <v>1.6619999999999999E-2</v>
      </c>
      <c r="CQ17" s="6">
        <v>3.3250000000000002E-2</v>
      </c>
      <c r="CR17" s="6">
        <v>4.9930000000000002E-2</v>
      </c>
      <c r="CS17" s="6">
        <v>6.651E-2</v>
      </c>
      <c r="CT17" s="6">
        <v>8.3019999999999997E-2</v>
      </c>
      <c r="CU17" s="6">
        <v>9.9449999999999997E-2</v>
      </c>
      <c r="CV17" s="6">
        <v>0.11577999999999999</v>
      </c>
      <c r="CW17" s="6">
        <v>0.13199</v>
      </c>
      <c r="CX17" s="6">
        <v>0.14807000000000001</v>
      </c>
      <c r="CY17" s="6">
        <v>0.16397</v>
      </c>
      <c r="CZ17" s="6">
        <v>0.17968000000000001</v>
      </c>
      <c r="DA17" s="6">
        <v>0.19517000000000001</v>
      </c>
      <c r="DB17" s="6">
        <v>0.2104</v>
      </c>
      <c r="DC17" s="6">
        <v>0.22534999999999999</v>
      </c>
      <c r="DD17" s="6">
        <v>0.23996000000000001</v>
      </c>
      <c r="DE17" s="6">
        <v>0.25422</v>
      </c>
      <c r="DF17" s="6">
        <v>0.26807999999999998</v>
      </c>
      <c r="DG17" s="6">
        <v>0.28149999999999997</v>
      </c>
      <c r="DH17" s="6">
        <v>0.29443000000000003</v>
      </c>
      <c r="DI17" s="6">
        <v>0.30685000000000001</v>
      </c>
      <c r="DJ17" s="6">
        <v>0.31872</v>
      </c>
      <c r="DK17" s="6">
        <v>0.32999000000000001</v>
      </c>
      <c r="DL17" s="6">
        <v>0.34062999999999999</v>
      </c>
      <c r="DM17" s="6">
        <v>0.35061999999999999</v>
      </c>
      <c r="DN17" s="6">
        <v>0.35992000000000002</v>
      </c>
      <c r="DO17" s="6">
        <v>0.36852000000000001</v>
      </c>
      <c r="DP17" s="6">
        <v>0.37640000000000001</v>
      </c>
      <c r="DQ17" s="6">
        <v>0.38352999999999998</v>
      </c>
      <c r="DR17" s="6">
        <v>0.38990999999999998</v>
      </c>
      <c r="DS17" s="6">
        <v>0.39554</v>
      </c>
      <c r="DT17" s="6">
        <v>0.40040999999999999</v>
      </c>
      <c r="DU17" s="6">
        <v>0.40454000000000001</v>
      </c>
      <c r="DV17" s="6">
        <v>0.40792</v>
      </c>
      <c r="DW17" s="6">
        <v>0.41058</v>
      </c>
      <c r="DX17" s="6">
        <v>0.41253000000000001</v>
      </c>
      <c r="DY17" s="6">
        <v>0.41381000000000001</v>
      </c>
      <c r="DZ17" s="6">
        <v>0.41442000000000001</v>
      </c>
      <c r="EA17" s="6">
        <v>0.41441</v>
      </c>
      <c r="EB17" s="6">
        <v>0.41381000000000001</v>
      </c>
      <c r="EC17" s="6">
        <v>0.41265000000000002</v>
      </c>
      <c r="ED17" s="6">
        <v>0.41097</v>
      </c>
      <c r="EE17" s="6">
        <v>0.40881000000000001</v>
      </c>
      <c r="EF17" s="6">
        <v>0.40621000000000002</v>
      </c>
      <c r="EG17" s="6">
        <v>0.40321000000000001</v>
      </c>
      <c r="EH17" s="6">
        <v>0.39984999999999998</v>
      </c>
      <c r="EI17" s="6">
        <v>0.39617000000000002</v>
      </c>
      <c r="EJ17" s="6">
        <v>0.39221</v>
      </c>
      <c r="EK17" s="6">
        <v>0.38800000000000001</v>
      </c>
      <c r="EL17" s="6">
        <v>0.38358999999999999</v>
      </c>
      <c r="EM17" s="6">
        <v>0.37901000000000001</v>
      </c>
      <c r="EN17" s="6">
        <v>0.37428</v>
      </c>
      <c r="EO17" s="6">
        <v>0.36945</v>
      </c>
      <c r="EP17" s="6">
        <v>0.36453000000000002</v>
      </c>
      <c r="EQ17" s="6">
        <v>0.35955999999999999</v>
      </c>
      <c r="ER17" s="6">
        <v>0.35455999999999999</v>
      </c>
      <c r="ES17" s="6">
        <v>0.34955000000000003</v>
      </c>
      <c r="ET17" s="6">
        <v>0.34455000000000002</v>
      </c>
      <c r="EU17" s="6">
        <v>0.33956999999999998</v>
      </c>
      <c r="EV17" s="6">
        <v>0.33462999999999998</v>
      </c>
      <c r="EW17" s="6">
        <v>0.32973999999999998</v>
      </c>
      <c r="EX17" s="6">
        <v>0.32491999999999999</v>
      </c>
      <c r="EY17" s="6">
        <v>0.32016</v>
      </c>
      <c r="EZ17" s="6">
        <v>0.31548999999999999</v>
      </c>
      <c r="FA17" s="6">
        <v>0.31090000000000001</v>
      </c>
      <c r="FB17" s="6">
        <v>0.30639</v>
      </c>
      <c r="FC17" s="6">
        <v>0.30198000000000003</v>
      </c>
      <c r="FD17" s="6">
        <v>0.29765999999999998</v>
      </c>
      <c r="FE17" s="6">
        <v>0.29343999999999998</v>
      </c>
      <c r="FF17" s="6">
        <v>0.28931000000000001</v>
      </c>
      <c r="FG17" s="6">
        <v>0.28527999999999998</v>
      </c>
      <c r="FH17" s="6">
        <v>0.28134999999999999</v>
      </c>
      <c r="FI17" s="6">
        <v>0.27750999999999998</v>
      </c>
      <c r="FJ17" s="6">
        <v>0.27376</v>
      </c>
      <c r="FK17" s="6">
        <v>0.27010000000000001</v>
      </c>
      <c r="FL17" s="6">
        <v>0.26654</v>
      </c>
      <c r="FM17" s="6">
        <v>0.26306000000000002</v>
      </c>
      <c r="FN17" s="6">
        <v>0.25966</v>
      </c>
      <c r="FO17" s="6">
        <v>0.25635000000000002</v>
      </c>
      <c r="FP17" s="6">
        <v>0.25312000000000001</v>
      </c>
      <c r="FQ17" s="6">
        <v>0.24995999999999999</v>
      </c>
      <c r="FR17" s="6">
        <v>0.24689</v>
      </c>
      <c r="FS17" s="6">
        <v>0.24388000000000001</v>
      </c>
      <c r="FT17" s="6">
        <v>0.24095</v>
      </c>
      <c r="FU17" s="6">
        <v>0.23808000000000001</v>
      </c>
      <c r="FV17" s="6">
        <v>0.23527999999999999</v>
      </c>
      <c r="FW17" s="6">
        <v>0.23255000000000001</v>
      </c>
      <c r="FX17" s="6">
        <v>0.22988</v>
      </c>
      <c r="FY17" s="6">
        <v>0.22727</v>
      </c>
      <c r="FZ17" s="6">
        <v>0.22472</v>
      </c>
      <c r="GA17" s="6">
        <v>0.22222</v>
      </c>
    </row>
    <row r="18" spans="1:183" ht="15" x14ac:dyDescent="0.3">
      <c r="A18" s="10">
        <v>0.42962400000000001</v>
      </c>
      <c r="B18" s="6">
        <v>-0.22219</v>
      </c>
      <c r="C18" s="6">
        <v>-0.22467999999999999</v>
      </c>
      <c r="D18" s="6">
        <v>-0.22722000000000001</v>
      </c>
      <c r="E18" s="6">
        <v>-0.22982</v>
      </c>
      <c r="F18" s="6">
        <v>-0.23247999999999999</v>
      </c>
      <c r="G18" s="6">
        <v>-0.23519999999999999</v>
      </c>
      <c r="H18" s="6">
        <v>-0.23796999999999999</v>
      </c>
      <c r="I18" s="6">
        <v>-0.24081</v>
      </c>
      <c r="J18" s="6">
        <v>-0.24371000000000001</v>
      </c>
      <c r="K18" s="6">
        <v>-0.24667</v>
      </c>
      <c r="L18" s="6">
        <v>-0.24970000000000001</v>
      </c>
      <c r="M18" s="6">
        <v>-0.25280000000000002</v>
      </c>
      <c r="N18" s="6">
        <v>-0.25596000000000002</v>
      </c>
      <c r="O18" s="6">
        <v>-0.25918999999999998</v>
      </c>
      <c r="P18" s="6">
        <v>-0.26247999999999999</v>
      </c>
      <c r="Q18" s="6">
        <v>-0.26584000000000002</v>
      </c>
      <c r="R18" s="6">
        <v>-0.26926</v>
      </c>
      <c r="S18" s="6">
        <v>-0.27273999999999998</v>
      </c>
      <c r="T18" s="6">
        <v>-0.27628999999999998</v>
      </c>
      <c r="U18" s="6">
        <v>-0.27989999999999998</v>
      </c>
      <c r="V18" s="6">
        <v>-0.28355000000000002</v>
      </c>
      <c r="W18" s="6">
        <v>-0.28726000000000002</v>
      </c>
      <c r="X18" s="6">
        <v>-0.29100999999999999</v>
      </c>
      <c r="Y18" s="6">
        <v>-0.29480000000000001</v>
      </c>
      <c r="Z18" s="6">
        <v>-0.29862</v>
      </c>
      <c r="AA18" s="6">
        <v>-0.30246000000000001</v>
      </c>
      <c r="AB18" s="6">
        <v>-0.30631000000000003</v>
      </c>
      <c r="AC18" s="6">
        <v>-0.31015999999999999</v>
      </c>
      <c r="AD18" s="6">
        <v>-0.31398999999999999</v>
      </c>
      <c r="AE18" s="6">
        <v>-0.31780000000000003</v>
      </c>
      <c r="AF18" s="6">
        <v>-0.32155</v>
      </c>
      <c r="AG18" s="6">
        <v>-0.32524999999999998</v>
      </c>
      <c r="AH18" s="6">
        <v>-0.32885999999999999</v>
      </c>
      <c r="AI18" s="6">
        <v>-0.33235999999999999</v>
      </c>
      <c r="AJ18" s="6">
        <v>-0.33572999999999997</v>
      </c>
      <c r="AK18" s="6">
        <v>-0.33894999999999997</v>
      </c>
      <c r="AL18" s="6">
        <v>-0.34198000000000001</v>
      </c>
      <c r="AM18" s="6">
        <v>-0.34481000000000001</v>
      </c>
      <c r="AN18" s="6">
        <v>-0.34739999999999999</v>
      </c>
      <c r="AO18" s="6">
        <v>-0.34971999999999998</v>
      </c>
      <c r="AP18" s="6">
        <v>-0.35174</v>
      </c>
      <c r="AQ18" s="6">
        <v>-0.35343000000000002</v>
      </c>
      <c r="AR18" s="6">
        <v>-0.35475000000000001</v>
      </c>
      <c r="AS18" s="6">
        <v>-0.35566999999999999</v>
      </c>
      <c r="AT18" s="6">
        <v>-0.35615999999999998</v>
      </c>
      <c r="AU18" s="6">
        <v>-0.35619000000000001</v>
      </c>
      <c r="AV18" s="6">
        <v>-0.35571999999999998</v>
      </c>
      <c r="AW18" s="6">
        <v>-0.35472999999999999</v>
      </c>
      <c r="AX18" s="6">
        <v>-0.35317999999999999</v>
      </c>
      <c r="AY18" s="6">
        <v>-0.35104999999999997</v>
      </c>
      <c r="AZ18" s="6">
        <v>-0.34831000000000001</v>
      </c>
      <c r="BA18" s="6">
        <v>-0.34494000000000002</v>
      </c>
      <c r="BB18" s="6">
        <v>-0.34092</v>
      </c>
      <c r="BC18" s="6">
        <v>-0.33622999999999997</v>
      </c>
      <c r="BD18" s="6">
        <v>-0.33084999999999998</v>
      </c>
      <c r="BE18" s="6">
        <v>-0.32479000000000002</v>
      </c>
      <c r="BF18" s="6">
        <v>-0.31802000000000002</v>
      </c>
      <c r="BG18" s="6">
        <v>-0.31054999999999999</v>
      </c>
      <c r="BH18" s="6">
        <v>-0.30237999999999998</v>
      </c>
      <c r="BI18" s="6">
        <v>-0.29350999999999999</v>
      </c>
      <c r="BJ18" s="6">
        <v>-0.28394999999999998</v>
      </c>
      <c r="BK18" s="6">
        <v>-0.27372000000000002</v>
      </c>
      <c r="BL18" s="6">
        <v>-0.26282</v>
      </c>
      <c r="BM18" s="6">
        <v>-0.25129000000000001</v>
      </c>
      <c r="BN18" s="6">
        <v>-0.23915</v>
      </c>
      <c r="BO18" s="6">
        <v>-0.22642000000000001</v>
      </c>
      <c r="BP18" s="6">
        <v>-0.21312999999999999</v>
      </c>
      <c r="BQ18" s="6">
        <v>-0.19933000000000001</v>
      </c>
      <c r="BR18" s="6">
        <v>-0.18504000000000001</v>
      </c>
      <c r="BS18" s="6">
        <v>-0.17030000000000001</v>
      </c>
      <c r="BT18" s="6">
        <v>-0.15515999999999999</v>
      </c>
      <c r="BU18" s="6">
        <v>-0.13963999999999999</v>
      </c>
      <c r="BV18" s="6">
        <v>-0.12381</v>
      </c>
      <c r="BW18" s="6">
        <v>-0.10768999999999999</v>
      </c>
      <c r="BX18" s="6">
        <v>-9.1319999999999998E-2</v>
      </c>
      <c r="BY18" s="6">
        <v>-7.4759999999999993E-2</v>
      </c>
      <c r="BZ18" s="6">
        <v>-5.8029999999999998E-2</v>
      </c>
      <c r="CA18" s="6">
        <v>-4.1160000000000002E-2</v>
      </c>
      <c r="CB18" s="6">
        <v>-2.4209999999999999E-2</v>
      </c>
      <c r="CC18" s="6">
        <v>-7.1900000000000002E-3</v>
      </c>
      <c r="CD18" s="6">
        <v>9.8700000000000003E-3</v>
      </c>
      <c r="CE18" s="6">
        <v>2.6929999999999999E-2</v>
      </c>
      <c r="CF18" s="6">
        <v>4.3970000000000002E-2</v>
      </c>
      <c r="CG18" s="6">
        <v>6.0970000000000003E-2</v>
      </c>
      <c r="CH18" s="6">
        <v>7.7909999999999993E-2</v>
      </c>
      <c r="CI18" s="6">
        <v>9.4780000000000003E-2</v>
      </c>
      <c r="CJ18" s="6">
        <v>0.11154</v>
      </c>
      <c r="CK18" s="6">
        <v>0.12820000000000001</v>
      </c>
      <c r="CL18" s="6">
        <v>0.14471999999999999</v>
      </c>
      <c r="CM18" s="6">
        <v>0.16111</v>
      </c>
      <c r="CN18" s="6">
        <v>0.17732999999999999</v>
      </c>
      <c r="CO18" s="6">
        <v>0.17732999999999999</v>
      </c>
      <c r="CP18" s="6">
        <v>0.19339000000000001</v>
      </c>
      <c r="CQ18" s="6">
        <v>0.20924999999999999</v>
      </c>
      <c r="CR18" s="6">
        <v>0.22492000000000001</v>
      </c>
      <c r="CS18" s="6">
        <v>0.24037</v>
      </c>
      <c r="CT18" s="6">
        <v>0.25557999999999997</v>
      </c>
      <c r="CU18" s="6">
        <v>0.27046999999999999</v>
      </c>
      <c r="CV18" s="6">
        <v>0.28516000000000002</v>
      </c>
      <c r="CW18" s="6">
        <v>0.29960999999999999</v>
      </c>
      <c r="CX18" s="6">
        <v>0.31368000000000001</v>
      </c>
      <c r="CY18" s="6">
        <v>0.32740000000000002</v>
      </c>
      <c r="CZ18" s="6">
        <v>0.34075</v>
      </c>
      <c r="DA18" s="6">
        <v>0.35370000000000001</v>
      </c>
      <c r="DB18" s="6">
        <v>0.36620000000000003</v>
      </c>
      <c r="DC18" s="6">
        <v>0.37824000000000002</v>
      </c>
      <c r="DD18" s="6">
        <v>0.38977000000000001</v>
      </c>
      <c r="DE18" s="6">
        <v>0.40075</v>
      </c>
      <c r="DF18" s="6">
        <v>0.41116000000000003</v>
      </c>
      <c r="DG18" s="6">
        <v>0.42094999999999999</v>
      </c>
      <c r="DH18" s="6">
        <v>0.43008000000000002</v>
      </c>
      <c r="DI18" s="6">
        <v>0.43853999999999999</v>
      </c>
      <c r="DJ18" s="6">
        <v>0.44628000000000001</v>
      </c>
      <c r="DK18" s="6">
        <v>0.45329000000000003</v>
      </c>
      <c r="DL18" s="6">
        <v>0.45952999999999999</v>
      </c>
      <c r="DM18" s="6">
        <v>0.46499000000000001</v>
      </c>
      <c r="DN18" s="6">
        <v>0.46966000000000002</v>
      </c>
      <c r="DO18" s="6">
        <v>0.47353000000000001</v>
      </c>
      <c r="DP18" s="6">
        <v>0.47660000000000002</v>
      </c>
      <c r="DQ18" s="6">
        <v>0.47887999999999997</v>
      </c>
      <c r="DR18" s="6">
        <v>0.48037000000000002</v>
      </c>
      <c r="DS18" s="6">
        <v>0.48109000000000002</v>
      </c>
      <c r="DT18" s="6">
        <v>0.48107</v>
      </c>
      <c r="DU18" s="6">
        <v>0.48032999999999998</v>
      </c>
      <c r="DV18" s="6">
        <v>0.47889999999999999</v>
      </c>
      <c r="DW18" s="6">
        <v>0.47682000000000002</v>
      </c>
      <c r="DX18" s="6">
        <v>0.47413</v>
      </c>
      <c r="DY18" s="6">
        <v>0.47088000000000002</v>
      </c>
      <c r="DZ18" s="6">
        <v>0.46711000000000003</v>
      </c>
      <c r="EA18" s="6">
        <v>0.46285999999999999</v>
      </c>
      <c r="EB18" s="6">
        <v>0.45818999999999999</v>
      </c>
      <c r="EC18" s="6">
        <v>0.45313999999999999</v>
      </c>
      <c r="ED18" s="6">
        <v>0.44777</v>
      </c>
      <c r="EE18" s="6">
        <v>0.44212000000000001</v>
      </c>
      <c r="EF18" s="6">
        <v>0.43623000000000001</v>
      </c>
      <c r="EG18" s="6">
        <v>0.43015999999999999</v>
      </c>
      <c r="EH18" s="6">
        <v>0.42393999999999998</v>
      </c>
      <c r="EI18" s="6">
        <v>0.41760999999999998</v>
      </c>
      <c r="EJ18" s="6">
        <v>0.41121000000000002</v>
      </c>
      <c r="EK18" s="6">
        <v>0.40477000000000002</v>
      </c>
      <c r="EL18" s="6">
        <v>0.39833000000000002</v>
      </c>
      <c r="EM18" s="6">
        <v>0.39190000000000003</v>
      </c>
      <c r="EN18" s="6">
        <v>0.38551999999999997</v>
      </c>
      <c r="EO18" s="6">
        <v>0.37919000000000003</v>
      </c>
      <c r="EP18" s="6">
        <v>0.37295</v>
      </c>
      <c r="EQ18" s="6">
        <v>0.36680000000000001</v>
      </c>
      <c r="ER18" s="6">
        <v>0.36076000000000003</v>
      </c>
      <c r="ES18" s="6">
        <v>0.35483999999999999</v>
      </c>
      <c r="ET18" s="6">
        <v>0.34903000000000001</v>
      </c>
      <c r="EU18" s="6">
        <v>0.34336</v>
      </c>
      <c r="EV18" s="6">
        <v>0.33782000000000001</v>
      </c>
      <c r="EW18" s="6">
        <v>0.33241999999999999</v>
      </c>
      <c r="EX18" s="6">
        <v>0.32715</v>
      </c>
      <c r="EY18" s="6">
        <v>0.32201999999999997</v>
      </c>
      <c r="EZ18" s="6">
        <v>0.31702000000000002</v>
      </c>
      <c r="FA18" s="6">
        <v>0.31215999999999999</v>
      </c>
      <c r="FB18" s="6">
        <v>0.30742999999999998</v>
      </c>
      <c r="FC18" s="6">
        <v>0.30282999999999999</v>
      </c>
      <c r="FD18" s="6">
        <v>0.29835</v>
      </c>
      <c r="FE18" s="6">
        <v>0.29399999999999998</v>
      </c>
      <c r="FF18" s="6">
        <v>0.28977000000000003</v>
      </c>
      <c r="FG18" s="6">
        <v>0.28565000000000002</v>
      </c>
      <c r="FH18" s="6">
        <v>0.28164</v>
      </c>
      <c r="FI18" s="6">
        <v>0.27773999999999999</v>
      </c>
      <c r="FJ18" s="6">
        <v>0.27394000000000002</v>
      </c>
      <c r="FK18" s="6">
        <v>0.27024999999999999</v>
      </c>
      <c r="FL18" s="6">
        <v>0.26665</v>
      </c>
      <c r="FM18" s="6">
        <v>0.26315</v>
      </c>
      <c r="FN18" s="6">
        <v>0.25973000000000002</v>
      </c>
      <c r="FO18" s="6">
        <v>0.25640000000000002</v>
      </c>
      <c r="FP18" s="6">
        <v>0.25316</v>
      </c>
      <c r="FQ18" s="6">
        <v>0.25</v>
      </c>
      <c r="FR18" s="6">
        <v>0.24690999999999999</v>
      </c>
      <c r="FS18" s="6">
        <v>0.24390000000000001</v>
      </c>
      <c r="FT18" s="6">
        <v>0.24096000000000001</v>
      </c>
      <c r="FU18" s="6">
        <v>0.23809</v>
      </c>
      <c r="FV18" s="6">
        <v>0.23529</v>
      </c>
      <c r="FW18" s="6">
        <v>0.23255999999999999</v>
      </c>
      <c r="FX18" s="6">
        <v>0.22988</v>
      </c>
      <c r="FY18" s="6">
        <v>0.22727</v>
      </c>
      <c r="FZ18" s="6">
        <v>0.22472</v>
      </c>
      <c r="GA18" s="6">
        <v>0.22222</v>
      </c>
    </row>
    <row r="19" spans="1:183" ht="15" x14ac:dyDescent="0.3">
      <c r="A19" s="33">
        <v>0.4</v>
      </c>
      <c r="B19" s="6">
        <v>-0.22214</v>
      </c>
      <c r="C19" s="6">
        <v>-0.22461</v>
      </c>
      <c r="D19" s="6">
        <v>-0.22714000000000001</v>
      </c>
      <c r="E19" s="6">
        <v>-0.22972000000000001</v>
      </c>
      <c r="F19" s="6">
        <v>-0.23236000000000001</v>
      </c>
      <c r="G19" s="6">
        <v>-0.23505000000000001</v>
      </c>
      <c r="H19" s="6">
        <v>-0.23779</v>
      </c>
      <c r="I19" s="6">
        <v>-0.24060000000000001</v>
      </c>
      <c r="J19" s="6">
        <v>-0.24345</v>
      </c>
      <c r="K19" s="6">
        <v>-0.24637000000000001</v>
      </c>
      <c r="L19" s="6">
        <v>-0.24933</v>
      </c>
      <c r="M19" s="6">
        <v>-0.25235999999999997</v>
      </c>
      <c r="N19" s="6">
        <v>-0.25544</v>
      </c>
      <c r="O19" s="6">
        <v>-0.25857000000000002</v>
      </c>
      <c r="P19" s="6">
        <v>-0.26174999999999998</v>
      </c>
      <c r="Q19" s="6">
        <v>-0.26496999999999998</v>
      </c>
      <c r="R19" s="6">
        <v>-0.26824999999999999</v>
      </c>
      <c r="S19" s="6">
        <v>-0.27156000000000002</v>
      </c>
      <c r="T19" s="6">
        <v>-0.27490999999999999</v>
      </c>
      <c r="U19" s="6">
        <v>-0.27828999999999998</v>
      </c>
      <c r="V19" s="6">
        <v>-0.28169</v>
      </c>
      <c r="W19" s="6">
        <v>-0.28510999999999997</v>
      </c>
      <c r="X19" s="6">
        <v>-0.28854000000000002</v>
      </c>
      <c r="Y19" s="6">
        <v>-0.29196</v>
      </c>
      <c r="Z19" s="6">
        <v>-0.29537000000000002</v>
      </c>
      <c r="AA19" s="6">
        <v>-0.29875000000000002</v>
      </c>
      <c r="AB19" s="6">
        <v>-0.30209000000000003</v>
      </c>
      <c r="AC19" s="6">
        <v>-0.30537999999999998</v>
      </c>
      <c r="AD19" s="6">
        <v>-0.30858999999999998</v>
      </c>
      <c r="AE19" s="6">
        <v>-0.31170999999999999</v>
      </c>
      <c r="AF19" s="6">
        <v>-0.31472</v>
      </c>
      <c r="AG19" s="6">
        <v>-0.31758999999999998</v>
      </c>
      <c r="AH19" s="6">
        <v>-0.32030999999999998</v>
      </c>
      <c r="AI19" s="6">
        <v>-0.32285000000000003</v>
      </c>
      <c r="AJ19" s="6">
        <v>-0.32518999999999998</v>
      </c>
      <c r="AK19" s="6">
        <v>-0.32729000000000003</v>
      </c>
      <c r="AL19" s="6">
        <v>-0.32913999999999999</v>
      </c>
      <c r="AM19" s="6">
        <v>-0.33069999999999999</v>
      </c>
      <c r="AN19" s="6">
        <v>-0.33194000000000001</v>
      </c>
      <c r="AO19" s="6">
        <v>-0.33284000000000002</v>
      </c>
      <c r="AP19" s="6">
        <v>-0.33335999999999999</v>
      </c>
      <c r="AQ19" s="6">
        <v>-0.33346999999999999</v>
      </c>
      <c r="AR19" s="6">
        <v>-0.33315</v>
      </c>
      <c r="AS19" s="6">
        <v>-0.33235999999999999</v>
      </c>
      <c r="AT19" s="6">
        <v>-0.33107999999999999</v>
      </c>
      <c r="AU19" s="6">
        <v>-0.32928000000000002</v>
      </c>
      <c r="AV19" s="6">
        <v>-0.32693</v>
      </c>
      <c r="AW19" s="6">
        <v>-0.32400000000000001</v>
      </c>
      <c r="AX19" s="6">
        <v>-0.32049</v>
      </c>
      <c r="AY19" s="6">
        <v>-0.31635000000000002</v>
      </c>
      <c r="AZ19" s="6">
        <v>-0.31158999999999998</v>
      </c>
      <c r="BA19" s="6">
        <v>-0.30617</v>
      </c>
      <c r="BB19" s="6">
        <v>-0.30009999999999998</v>
      </c>
      <c r="BC19" s="6">
        <v>-0.29335</v>
      </c>
      <c r="BD19" s="6">
        <v>-0.28592000000000001</v>
      </c>
      <c r="BE19" s="6">
        <v>-0.27782000000000001</v>
      </c>
      <c r="BF19" s="6">
        <v>-0.26904</v>
      </c>
      <c r="BG19" s="6">
        <v>-0.25957999999999998</v>
      </c>
      <c r="BH19" s="6">
        <v>-0.24945999999999999</v>
      </c>
      <c r="BI19" s="6">
        <v>-0.23868</v>
      </c>
      <c r="BJ19" s="6">
        <v>-0.22725999999999999</v>
      </c>
      <c r="BK19" s="6">
        <v>-0.21523</v>
      </c>
      <c r="BL19" s="6">
        <v>-0.20258999999999999</v>
      </c>
      <c r="BM19" s="6">
        <v>-0.18939</v>
      </c>
      <c r="BN19" s="6">
        <v>-0.17563999999999999</v>
      </c>
      <c r="BO19" s="6">
        <v>-0.16138</v>
      </c>
      <c r="BP19" s="6">
        <v>-0.14665</v>
      </c>
      <c r="BQ19" s="6">
        <v>-0.13148000000000001</v>
      </c>
      <c r="BR19" s="6">
        <v>-0.1159</v>
      </c>
      <c r="BS19" s="6">
        <v>-9.9970000000000003E-2</v>
      </c>
      <c r="BT19" s="6">
        <v>-8.3710000000000007E-2</v>
      </c>
      <c r="BU19" s="6">
        <v>-6.7180000000000004E-2</v>
      </c>
      <c r="BV19" s="6">
        <v>-5.04E-2</v>
      </c>
      <c r="BW19" s="6">
        <v>-3.3439999999999998E-2</v>
      </c>
      <c r="BX19" s="6">
        <v>-1.6310000000000002E-2</v>
      </c>
      <c r="BY19" s="6">
        <v>9.2000000000000003E-4</v>
      </c>
      <c r="BZ19" s="6">
        <v>1.8239999999999999E-2</v>
      </c>
      <c r="CA19" s="6">
        <v>3.56E-2</v>
      </c>
      <c r="CB19" s="6">
        <v>5.2970000000000003E-2</v>
      </c>
      <c r="CC19" s="6">
        <v>7.0319999999999994E-2</v>
      </c>
      <c r="CD19" s="6">
        <v>8.763E-2</v>
      </c>
      <c r="CE19" s="6">
        <v>0.10485999999999999</v>
      </c>
      <c r="CF19" s="6">
        <v>0.12199</v>
      </c>
      <c r="CG19" s="6">
        <v>0.13900999999999999</v>
      </c>
      <c r="CH19" s="6">
        <v>0.15589</v>
      </c>
      <c r="CI19" s="6">
        <v>0.17261000000000001</v>
      </c>
      <c r="CJ19" s="6">
        <v>0.18915999999999999</v>
      </c>
      <c r="CK19" s="6">
        <v>0.20552000000000001</v>
      </c>
      <c r="CL19" s="6">
        <v>0.22167999999999999</v>
      </c>
      <c r="CM19" s="6">
        <v>0.23763000000000001</v>
      </c>
      <c r="CN19" s="6">
        <v>0.25335000000000002</v>
      </c>
      <c r="CO19" s="6">
        <v>0.25335000000000002</v>
      </c>
      <c r="CP19" s="6">
        <v>0.26882</v>
      </c>
      <c r="CQ19" s="6">
        <v>0.28403</v>
      </c>
      <c r="CR19" s="6">
        <v>0.29897000000000001</v>
      </c>
      <c r="CS19" s="6">
        <v>0.31362000000000001</v>
      </c>
      <c r="CT19" s="6">
        <v>0.32795999999999997</v>
      </c>
      <c r="CU19" s="6">
        <v>0.34198000000000001</v>
      </c>
      <c r="CV19" s="6">
        <v>0.35565000000000002</v>
      </c>
      <c r="CW19" s="6">
        <v>0.36889</v>
      </c>
      <c r="CX19" s="6">
        <v>0.38185999999999998</v>
      </c>
      <c r="CY19" s="6">
        <v>0.39434000000000002</v>
      </c>
      <c r="CZ19" s="6">
        <v>0.40638000000000002</v>
      </c>
      <c r="DA19" s="6">
        <v>0.41793999999999998</v>
      </c>
      <c r="DB19" s="6">
        <v>0.42898999999999998</v>
      </c>
      <c r="DC19" s="6">
        <v>0.43948999999999999</v>
      </c>
      <c r="DD19" s="6">
        <v>0.44941999999999999</v>
      </c>
      <c r="DE19" s="6">
        <v>0.45873000000000003</v>
      </c>
      <c r="DF19" s="6">
        <v>0.46739000000000003</v>
      </c>
      <c r="DG19" s="6">
        <v>0.47538000000000002</v>
      </c>
      <c r="DH19" s="6">
        <v>0.48265000000000002</v>
      </c>
      <c r="DI19" s="6">
        <v>0.48916999999999999</v>
      </c>
      <c r="DJ19" s="6">
        <v>0.49493999999999999</v>
      </c>
      <c r="DK19" s="6">
        <v>0.49991000000000002</v>
      </c>
      <c r="DL19" s="6">
        <v>0.50409000000000004</v>
      </c>
      <c r="DM19" s="6">
        <v>0.50744</v>
      </c>
      <c r="DN19" s="6">
        <v>0.50999000000000005</v>
      </c>
      <c r="DO19" s="6">
        <v>0.51171</v>
      </c>
      <c r="DP19" s="6">
        <v>0.51263000000000003</v>
      </c>
      <c r="DQ19" s="6">
        <v>0.51275999999999999</v>
      </c>
      <c r="DR19" s="6">
        <v>0.51212000000000002</v>
      </c>
      <c r="DS19" s="6">
        <v>0.51073000000000002</v>
      </c>
      <c r="DT19" s="6">
        <v>0.50863000000000003</v>
      </c>
      <c r="DU19" s="6">
        <v>0.50585000000000002</v>
      </c>
      <c r="DV19" s="6">
        <v>0.50244</v>
      </c>
      <c r="DW19" s="6">
        <v>0.49843999999999999</v>
      </c>
      <c r="DX19" s="6">
        <v>0.49391000000000002</v>
      </c>
      <c r="DY19" s="6">
        <v>0.48887999999999998</v>
      </c>
      <c r="DZ19" s="6">
        <v>0.48342000000000002</v>
      </c>
      <c r="EA19" s="6">
        <v>0.47758</v>
      </c>
      <c r="EB19" s="6">
        <v>0.47141</v>
      </c>
      <c r="EC19" s="6">
        <v>0.46495999999999998</v>
      </c>
      <c r="ED19" s="6">
        <v>0.45828000000000002</v>
      </c>
      <c r="EE19" s="6">
        <v>0.45141999999999999</v>
      </c>
      <c r="EF19" s="6">
        <v>0.44441999999999998</v>
      </c>
      <c r="EG19" s="6">
        <v>0.43734000000000001</v>
      </c>
      <c r="EH19" s="6">
        <v>0.43020000000000003</v>
      </c>
      <c r="EI19" s="6">
        <v>0.42304000000000003</v>
      </c>
      <c r="EJ19" s="6">
        <v>0.41589999999999999</v>
      </c>
      <c r="EK19" s="6">
        <v>0.4088</v>
      </c>
      <c r="EL19" s="6">
        <v>0.40177000000000002</v>
      </c>
      <c r="EM19" s="6">
        <v>0.39482</v>
      </c>
      <c r="EN19" s="6">
        <v>0.38799</v>
      </c>
      <c r="EO19" s="6">
        <v>0.38127</v>
      </c>
      <c r="EP19" s="6">
        <v>0.37469000000000002</v>
      </c>
      <c r="EQ19" s="6">
        <v>0.36825000000000002</v>
      </c>
      <c r="ER19" s="6">
        <v>0.36196</v>
      </c>
      <c r="ES19" s="6">
        <v>0.35582999999999998</v>
      </c>
      <c r="ET19" s="6">
        <v>0.34984999999999999</v>
      </c>
      <c r="EU19" s="6">
        <v>0.34401999999999999</v>
      </c>
      <c r="EV19" s="6">
        <v>0.33835999999999999</v>
      </c>
      <c r="EW19" s="6">
        <v>0.33284999999999998</v>
      </c>
      <c r="EX19" s="6">
        <v>0.32750000000000001</v>
      </c>
      <c r="EY19" s="6">
        <v>0.32229999999999998</v>
      </c>
      <c r="EZ19" s="6">
        <v>0.31724000000000002</v>
      </c>
      <c r="FA19" s="6">
        <v>0.31234000000000001</v>
      </c>
      <c r="FB19" s="6">
        <v>0.30757000000000001</v>
      </c>
      <c r="FC19" s="6">
        <v>0.30293999999999999</v>
      </c>
      <c r="FD19" s="6">
        <v>0.29843999999999998</v>
      </c>
      <c r="FE19" s="6">
        <v>0.29407</v>
      </c>
      <c r="FF19" s="6">
        <v>0.28982000000000002</v>
      </c>
      <c r="FG19" s="6">
        <v>0.28569</v>
      </c>
      <c r="FH19" s="6">
        <v>0.28166999999999998</v>
      </c>
      <c r="FI19" s="6">
        <v>0.27776000000000001</v>
      </c>
      <c r="FJ19" s="6">
        <v>0.27395999999999998</v>
      </c>
      <c r="FK19" s="6">
        <v>0.27026</v>
      </c>
      <c r="FL19" s="6">
        <v>0.26666000000000001</v>
      </c>
      <c r="FM19" s="6">
        <v>0.26315</v>
      </c>
      <c r="FN19" s="6">
        <v>0.25974000000000003</v>
      </c>
      <c r="FO19" s="6">
        <v>0.25641000000000003</v>
      </c>
      <c r="FP19" s="6">
        <v>0.25316</v>
      </c>
      <c r="FQ19" s="6">
        <v>0.25</v>
      </c>
      <c r="FR19" s="6">
        <v>0.24690999999999999</v>
      </c>
      <c r="FS19" s="6">
        <v>0.24390000000000001</v>
      </c>
      <c r="FT19" s="6">
        <v>0.24096000000000001</v>
      </c>
      <c r="FU19" s="6">
        <v>0.23810000000000001</v>
      </c>
      <c r="FV19" s="6">
        <v>0.23529</v>
      </c>
      <c r="FW19" s="6">
        <v>0.23255999999999999</v>
      </c>
      <c r="FX19" s="6">
        <v>0.22988</v>
      </c>
      <c r="FY19" s="6">
        <v>0.22727</v>
      </c>
      <c r="FZ19" s="6">
        <v>0.22472</v>
      </c>
      <c r="GA19" s="6">
        <v>0.22222</v>
      </c>
    </row>
    <row r="20" spans="1:183" ht="15" x14ac:dyDescent="0.3">
      <c r="A20" s="33">
        <v>0.3</v>
      </c>
      <c r="B20" s="6">
        <v>-0.2203</v>
      </c>
      <c r="C20" s="6">
        <v>-0.22248999999999999</v>
      </c>
      <c r="D20" s="6">
        <v>-0.22469</v>
      </c>
      <c r="E20" s="6">
        <v>-0.22689999999999999</v>
      </c>
      <c r="F20" s="6">
        <v>-0.22911000000000001</v>
      </c>
      <c r="G20" s="6">
        <v>-0.23132</v>
      </c>
      <c r="H20" s="6">
        <v>-0.23352000000000001</v>
      </c>
      <c r="I20" s="6">
        <v>-0.23571</v>
      </c>
      <c r="J20" s="6">
        <v>-0.23788000000000001</v>
      </c>
      <c r="K20" s="6">
        <v>-0.24002999999999999</v>
      </c>
      <c r="L20" s="6">
        <v>-0.24213999999999999</v>
      </c>
      <c r="M20" s="6">
        <v>-0.24421000000000001</v>
      </c>
      <c r="N20" s="6">
        <v>-0.24621999999999999</v>
      </c>
      <c r="O20" s="6">
        <v>-0.24817</v>
      </c>
      <c r="P20" s="6">
        <v>-0.25004999999999999</v>
      </c>
      <c r="Q20" s="6">
        <v>-0.25183</v>
      </c>
      <c r="R20" s="6">
        <v>-0.25352000000000002</v>
      </c>
      <c r="S20" s="6">
        <v>-0.25509999999999999</v>
      </c>
      <c r="T20" s="6">
        <v>-0.25653999999999999</v>
      </c>
      <c r="U20" s="6">
        <v>-0.25785000000000002</v>
      </c>
      <c r="V20" s="6">
        <v>-0.25899</v>
      </c>
      <c r="W20" s="6">
        <v>-0.25995000000000001</v>
      </c>
      <c r="X20" s="6">
        <v>-0.26072000000000001</v>
      </c>
      <c r="Y20" s="6">
        <v>-0.26128000000000001</v>
      </c>
      <c r="Z20" s="6">
        <v>-0.2616</v>
      </c>
      <c r="AA20" s="6">
        <v>-0.26167000000000001</v>
      </c>
      <c r="AB20" s="6">
        <v>-0.26146000000000003</v>
      </c>
      <c r="AC20" s="6">
        <v>-0.26096999999999998</v>
      </c>
      <c r="AD20" s="6">
        <v>-0.26014999999999999</v>
      </c>
      <c r="AE20" s="6">
        <v>-0.25901000000000002</v>
      </c>
      <c r="AF20" s="6">
        <v>-0.25750000000000001</v>
      </c>
      <c r="AG20" s="6">
        <v>-0.25562000000000001</v>
      </c>
      <c r="AH20" s="6">
        <v>-0.25334000000000001</v>
      </c>
      <c r="AI20" s="6">
        <v>-0.25063999999999997</v>
      </c>
      <c r="AJ20" s="6">
        <v>-0.24751000000000001</v>
      </c>
      <c r="AK20" s="6">
        <v>-0.24390999999999999</v>
      </c>
      <c r="AL20" s="6">
        <v>-0.23984</v>
      </c>
      <c r="AM20" s="6">
        <v>-0.23527000000000001</v>
      </c>
      <c r="AN20" s="6">
        <v>-0.23019000000000001</v>
      </c>
      <c r="AO20" s="6">
        <v>-0.22458</v>
      </c>
      <c r="AP20" s="6">
        <v>-0.21843000000000001</v>
      </c>
      <c r="AQ20" s="6">
        <v>-0.21171999999999999</v>
      </c>
      <c r="AR20" s="6">
        <v>-0.20446</v>
      </c>
      <c r="AS20" s="6">
        <v>-0.19661000000000001</v>
      </c>
      <c r="AT20" s="6">
        <v>-0.18819</v>
      </c>
      <c r="AU20" s="6">
        <v>-0.17918000000000001</v>
      </c>
      <c r="AV20" s="6">
        <v>-0.16958000000000001</v>
      </c>
      <c r="AW20" s="6">
        <v>-0.15939</v>
      </c>
      <c r="AX20" s="6">
        <v>-0.14860999999999999</v>
      </c>
      <c r="AY20" s="6">
        <v>-0.13725000000000001</v>
      </c>
      <c r="AZ20" s="6">
        <v>-0.12529999999999999</v>
      </c>
      <c r="BA20" s="6">
        <v>-0.11279</v>
      </c>
      <c r="BB20" s="6">
        <v>-9.9720000000000003E-2</v>
      </c>
      <c r="BC20" s="6">
        <v>-8.6099999999999996E-2</v>
      </c>
      <c r="BD20" s="6">
        <v>-7.195E-2</v>
      </c>
      <c r="BE20" s="6">
        <v>-5.7299999999999997E-2</v>
      </c>
      <c r="BF20" s="6">
        <v>-4.215E-2</v>
      </c>
      <c r="BG20" s="6">
        <v>-2.6540000000000001E-2</v>
      </c>
      <c r="BH20" s="6">
        <v>-1.0500000000000001E-2</v>
      </c>
      <c r="BI20" s="6">
        <v>5.96E-3</v>
      </c>
      <c r="BJ20" s="6">
        <v>2.2790000000000001E-2</v>
      </c>
      <c r="BK20" s="6">
        <v>3.9969999999999999E-2</v>
      </c>
      <c r="BL20" s="6">
        <v>5.7459999999999997E-2</v>
      </c>
      <c r="BM20" s="6">
        <v>7.5230000000000005E-2</v>
      </c>
      <c r="BN20" s="6">
        <v>9.3229999999999993E-2</v>
      </c>
      <c r="BO20" s="6">
        <v>0.11143</v>
      </c>
      <c r="BP20" s="6">
        <v>0.12978999999999999</v>
      </c>
      <c r="BQ20" s="6">
        <v>0.14827000000000001</v>
      </c>
      <c r="BR20" s="6">
        <v>0.16682</v>
      </c>
      <c r="BS20" s="6">
        <v>0.18540000000000001</v>
      </c>
      <c r="BT20" s="6">
        <v>0.20397000000000001</v>
      </c>
      <c r="BU20" s="6">
        <v>0.2225</v>
      </c>
      <c r="BV20" s="6">
        <v>0.24093999999999999</v>
      </c>
      <c r="BW20" s="6">
        <v>0.25924999999999998</v>
      </c>
      <c r="BX20" s="6">
        <v>0.27739999999999998</v>
      </c>
      <c r="BY20" s="6">
        <v>0.29535</v>
      </c>
      <c r="BZ20" s="6">
        <v>0.31307000000000001</v>
      </c>
      <c r="CA20" s="6">
        <v>0.33054</v>
      </c>
      <c r="CB20" s="6">
        <v>0.34771999999999997</v>
      </c>
      <c r="CC20" s="6">
        <v>0.36458000000000002</v>
      </c>
      <c r="CD20" s="6">
        <v>0.38111</v>
      </c>
      <c r="CE20" s="6">
        <v>0.39728999999999998</v>
      </c>
      <c r="CF20" s="6">
        <v>0.41309000000000001</v>
      </c>
      <c r="CG20" s="6">
        <v>0.42851</v>
      </c>
      <c r="CH20" s="6">
        <v>0.44352000000000003</v>
      </c>
      <c r="CI20" s="6">
        <v>0.45812000000000003</v>
      </c>
      <c r="CJ20" s="6">
        <v>0.47227999999999998</v>
      </c>
      <c r="CK20" s="6">
        <v>0.48599999999999999</v>
      </c>
      <c r="CL20" s="6">
        <v>0.49926999999999999</v>
      </c>
      <c r="CM20" s="6">
        <v>0.51207000000000003</v>
      </c>
      <c r="CN20" s="6">
        <v>0.52439999999999998</v>
      </c>
      <c r="CO20" s="6">
        <v>0.52439999999999998</v>
      </c>
      <c r="CP20" s="6">
        <v>0.53624000000000005</v>
      </c>
      <c r="CQ20" s="6">
        <v>0.54757</v>
      </c>
      <c r="CR20" s="6">
        <v>0.55839000000000005</v>
      </c>
      <c r="CS20" s="6">
        <v>0.56867000000000001</v>
      </c>
      <c r="CT20" s="6">
        <v>0.57840000000000003</v>
      </c>
      <c r="CU20" s="6">
        <v>0.58757000000000004</v>
      </c>
      <c r="CV20" s="6">
        <v>0.59614999999999996</v>
      </c>
      <c r="CW20" s="6">
        <v>0.60411999999999999</v>
      </c>
      <c r="CX20" s="6">
        <v>0.61146</v>
      </c>
      <c r="CY20" s="6">
        <v>0.61814999999999998</v>
      </c>
      <c r="CZ20" s="6">
        <v>0.62414999999999998</v>
      </c>
      <c r="DA20" s="6">
        <v>0.62944</v>
      </c>
      <c r="DB20" s="6">
        <v>0.63400000000000001</v>
      </c>
      <c r="DC20" s="6">
        <v>0.63778999999999997</v>
      </c>
      <c r="DD20" s="6">
        <v>0.64080000000000004</v>
      </c>
      <c r="DE20" s="6">
        <v>0.64300000000000002</v>
      </c>
      <c r="DF20" s="6">
        <v>0.64436000000000004</v>
      </c>
      <c r="DG20" s="6">
        <v>0.64488000000000001</v>
      </c>
      <c r="DH20" s="6">
        <v>0.64453000000000005</v>
      </c>
      <c r="DI20" s="6">
        <v>0.64332999999999996</v>
      </c>
      <c r="DJ20" s="6">
        <v>0.64124999999999999</v>
      </c>
      <c r="DK20" s="6">
        <v>0.63832999999999995</v>
      </c>
      <c r="DL20" s="6">
        <v>0.63456000000000001</v>
      </c>
      <c r="DM20" s="6">
        <v>0.62999000000000005</v>
      </c>
      <c r="DN20" s="6">
        <v>0.62463000000000002</v>
      </c>
      <c r="DO20" s="6">
        <v>0.61853999999999998</v>
      </c>
      <c r="DP20" s="6">
        <v>0.61175999999999997</v>
      </c>
      <c r="DQ20" s="6">
        <v>0.60433999999999999</v>
      </c>
      <c r="DR20" s="6">
        <v>0.59633999999999998</v>
      </c>
      <c r="DS20" s="6">
        <v>0.58782999999999996</v>
      </c>
      <c r="DT20" s="6">
        <v>0.57887</v>
      </c>
      <c r="DU20" s="6">
        <v>0.56952999999999998</v>
      </c>
      <c r="DV20" s="6">
        <v>0.55989</v>
      </c>
      <c r="DW20" s="6">
        <v>0.55000000000000004</v>
      </c>
      <c r="DX20" s="6">
        <v>0.53993000000000002</v>
      </c>
      <c r="DY20" s="6">
        <v>0.52975000000000005</v>
      </c>
      <c r="DZ20" s="6">
        <v>0.51951999999999998</v>
      </c>
      <c r="EA20" s="6">
        <v>0.50929000000000002</v>
      </c>
      <c r="EB20" s="6">
        <v>0.49911</v>
      </c>
      <c r="EC20" s="6">
        <v>0.48902000000000001</v>
      </c>
      <c r="ED20" s="6">
        <v>0.47905999999999999</v>
      </c>
      <c r="EE20" s="6">
        <v>0.46927000000000002</v>
      </c>
      <c r="EF20" s="6">
        <v>0.45967000000000002</v>
      </c>
      <c r="EG20" s="6">
        <v>0.45029000000000002</v>
      </c>
      <c r="EH20" s="6">
        <v>0.44113999999999998</v>
      </c>
      <c r="EI20" s="6">
        <v>0.43223</v>
      </c>
      <c r="EJ20" s="6">
        <v>0.42357</v>
      </c>
      <c r="EK20" s="6">
        <v>0.41516999999999998</v>
      </c>
      <c r="EL20" s="6">
        <v>0.40703</v>
      </c>
      <c r="EM20" s="6">
        <v>0.39913999999999999</v>
      </c>
      <c r="EN20" s="6">
        <v>0.39151999999999998</v>
      </c>
      <c r="EO20" s="6">
        <v>0.38413999999999998</v>
      </c>
      <c r="EP20" s="6">
        <v>0.37701000000000001</v>
      </c>
      <c r="EQ20" s="6">
        <v>0.37010999999999999</v>
      </c>
      <c r="ER20" s="6">
        <v>0.36345</v>
      </c>
      <c r="ES20" s="6">
        <v>0.35699999999999998</v>
      </c>
      <c r="ET20" s="6">
        <v>0.35077999999999998</v>
      </c>
      <c r="EU20" s="6">
        <v>0.34476000000000001</v>
      </c>
      <c r="EV20" s="6">
        <v>0.33893000000000001</v>
      </c>
      <c r="EW20" s="6">
        <v>0.33329999999999999</v>
      </c>
      <c r="EX20" s="6">
        <v>0.32784000000000002</v>
      </c>
      <c r="EY20" s="6">
        <v>0.32256000000000001</v>
      </c>
      <c r="EZ20" s="6">
        <v>0.31745000000000001</v>
      </c>
      <c r="FA20" s="6">
        <v>0.31248999999999999</v>
      </c>
      <c r="FB20" s="6">
        <v>0.30769000000000002</v>
      </c>
      <c r="FC20" s="6">
        <v>0.30303000000000002</v>
      </c>
      <c r="FD20" s="6">
        <v>0.29849999999999999</v>
      </c>
      <c r="FE20" s="6">
        <v>0.29411999999999999</v>
      </c>
      <c r="FF20" s="6">
        <v>0.28985</v>
      </c>
      <c r="FG20" s="6">
        <v>0.28571000000000002</v>
      </c>
      <c r="FH20" s="6">
        <v>0.28169</v>
      </c>
      <c r="FI20" s="6">
        <v>0.27778000000000003</v>
      </c>
      <c r="FJ20" s="6">
        <v>0.27396999999999999</v>
      </c>
      <c r="FK20" s="6">
        <v>0.27027000000000001</v>
      </c>
      <c r="FL20" s="6">
        <v>0.26667000000000002</v>
      </c>
      <c r="FM20" s="6">
        <v>0.26316000000000001</v>
      </c>
      <c r="FN20" s="6">
        <v>0.25974000000000003</v>
      </c>
      <c r="FO20" s="6">
        <v>0.25641000000000003</v>
      </c>
      <c r="FP20" s="6">
        <v>0.25316</v>
      </c>
      <c r="FQ20" s="6">
        <v>0.25</v>
      </c>
      <c r="FR20" s="6">
        <v>0.24690999999999999</v>
      </c>
      <c r="FS20" s="6">
        <v>0.24390000000000001</v>
      </c>
      <c r="FT20" s="6">
        <v>0.24096000000000001</v>
      </c>
      <c r="FU20" s="6">
        <v>0.23810000000000001</v>
      </c>
      <c r="FV20" s="6">
        <v>0.23529</v>
      </c>
      <c r="FW20" s="6">
        <v>0.23255999999999999</v>
      </c>
      <c r="FX20" s="6">
        <v>0.22989000000000001</v>
      </c>
      <c r="FY20" s="6">
        <v>0.22727</v>
      </c>
      <c r="FZ20" s="6">
        <v>0.22472</v>
      </c>
      <c r="GA20" s="6">
        <v>0.22222</v>
      </c>
    </row>
    <row r="21" spans="1:183" ht="15" x14ac:dyDescent="0.3">
      <c r="A21" s="33">
        <v>0.2</v>
      </c>
      <c r="B21" s="6">
        <v>-0.19338</v>
      </c>
      <c r="C21" s="6">
        <v>-0.19316</v>
      </c>
      <c r="D21" s="6">
        <v>-0.19277</v>
      </c>
      <c r="E21" s="6">
        <v>-0.19220999999999999</v>
      </c>
      <c r="F21" s="6">
        <v>-0.19147</v>
      </c>
      <c r="G21" s="6">
        <v>-0.19053999999999999</v>
      </c>
      <c r="H21" s="6">
        <v>-0.18939</v>
      </c>
      <c r="I21" s="6">
        <v>-0.18803</v>
      </c>
      <c r="J21" s="6">
        <v>-0.18643000000000001</v>
      </c>
      <c r="K21" s="6">
        <v>-0.18459</v>
      </c>
      <c r="L21" s="6">
        <v>-0.18249000000000001</v>
      </c>
      <c r="M21" s="6">
        <v>-0.18012</v>
      </c>
      <c r="N21" s="6">
        <v>-0.17746000000000001</v>
      </c>
      <c r="O21" s="6">
        <v>-0.17449999999999999</v>
      </c>
      <c r="P21" s="6">
        <v>-0.17122999999999999</v>
      </c>
      <c r="Q21" s="6">
        <v>-0.16764000000000001</v>
      </c>
      <c r="R21" s="6">
        <v>-0.16370999999999999</v>
      </c>
      <c r="S21" s="6">
        <v>-0.15942000000000001</v>
      </c>
      <c r="T21" s="6">
        <v>-0.15478</v>
      </c>
      <c r="U21" s="6">
        <v>-0.14974999999999999</v>
      </c>
      <c r="V21" s="6">
        <v>-0.14434</v>
      </c>
      <c r="W21" s="6">
        <v>-0.13852999999999999</v>
      </c>
      <c r="X21" s="6">
        <v>-0.13231000000000001</v>
      </c>
      <c r="Y21" s="6">
        <v>-0.12565999999999999</v>
      </c>
      <c r="Z21" s="6">
        <v>-0.11859</v>
      </c>
      <c r="AA21" s="6">
        <v>-0.11107</v>
      </c>
      <c r="AB21" s="6">
        <v>-0.10310999999999999</v>
      </c>
      <c r="AC21" s="6">
        <v>-9.4689999999999996E-2</v>
      </c>
      <c r="AD21" s="6">
        <v>-8.5800000000000001E-2</v>
      </c>
      <c r="AE21" s="6">
        <v>-7.6450000000000004E-2</v>
      </c>
      <c r="AF21" s="6">
        <v>-6.6619999999999999E-2</v>
      </c>
      <c r="AG21" s="6">
        <v>-5.6320000000000002E-2</v>
      </c>
      <c r="AH21" s="6">
        <v>-4.5530000000000001E-2</v>
      </c>
      <c r="AI21" s="6">
        <v>-3.4270000000000002E-2</v>
      </c>
      <c r="AJ21" s="6">
        <v>-2.2519999999999998E-2</v>
      </c>
      <c r="AK21" s="6">
        <v>-1.0279999999999999E-2</v>
      </c>
      <c r="AL21" s="6">
        <v>2.4299999999999999E-3</v>
      </c>
      <c r="AM21" s="6">
        <v>1.5610000000000001E-2</v>
      </c>
      <c r="AN21" s="6">
        <v>2.9270000000000001E-2</v>
      </c>
      <c r="AO21" s="6">
        <v>4.3400000000000001E-2</v>
      </c>
      <c r="AP21" s="6">
        <v>5.7979999999999997E-2</v>
      </c>
      <c r="AQ21" s="6">
        <v>7.2999999999999995E-2</v>
      </c>
      <c r="AR21" s="6">
        <v>8.8469999999999993E-2</v>
      </c>
      <c r="AS21" s="6">
        <v>0.10435999999999999</v>
      </c>
      <c r="AT21" s="6">
        <v>0.12067</v>
      </c>
      <c r="AU21" s="6">
        <v>0.13736999999999999</v>
      </c>
      <c r="AV21" s="6">
        <v>0.15445</v>
      </c>
      <c r="AW21" s="6">
        <v>0.17188999999999999</v>
      </c>
      <c r="AX21" s="6">
        <v>0.18967000000000001</v>
      </c>
      <c r="AY21" s="6">
        <v>0.20777000000000001</v>
      </c>
      <c r="AZ21" s="6">
        <v>0.22617000000000001</v>
      </c>
      <c r="BA21" s="6">
        <v>0.24484</v>
      </c>
      <c r="BB21" s="6">
        <v>0.26375999999999999</v>
      </c>
      <c r="BC21" s="6">
        <v>0.28289999999999998</v>
      </c>
      <c r="BD21" s="6">
        <v>0.30223</v>
      </c>
      <c r="BE21" s="6">
        <v>0.32171</v>
      </c>
      <c r="BF21" s="6">
        <v>0.34133000000000002</v>
      </c>
      <c r="BG21" s="6">
        <v>0.36104000000000003</v>
      </c>
      <c r="BH21" s="6">
        <v>0.38080999999999998</v>
      </c>
      <c r="BI21" s="6">
        <v>0.40061000000000002</v>
      </c>
      <c r="BJ21" s="6">
        <v>0.4204</v>
      </c>
      <c r="BK21" s="6">
        <v>0.44014999999999999</v>
      </c>
      <c r="BL21" s="6">
        <v>0.45979999999999999</v>
      </c>
      <c r="BM21" s="6">
        <v>0.47933999999999999</v>
      </c>
      <c r="BN21" s="6">
        <v>0.49872</v>
      </c>
      <c r="BO21" s="6">
        <v>0.51788999999999996</v>
      </c>
      <c r="BP21" s="6">
        <v>0.53683000000000003</v>
      </c>
      <c r="BQ21" s="6">
        <v>0.55549000000000004</v>
      </c>
      <c r="BR21" s="6">
        <v>0.57382999999999995</v>
      </c>
      <c r="BS21" s="6">
        <v>0.59182999999999997</v>
      </c>
      <c r="BT21" s="6">
        <v>0.60943999999999998</v>
      </c>
      <c r="BU21" s="6">
        <v>0.62661999999999995</v>
      </c>
      <c r="BV21" s="6">
        <v>0.64334999999999998</v>
      </c>
      <c r="BW21" s="6">
        <v>0.65959000000000001</v>
      </c>
      <c r="BX21" s="6">
        <v>0.67532000000000003</v>
      </c>
      <c r="BY21" s="6">
        <v>0.6905</v>
      </c>
      <c r="BZ21" s="6">
        <v>0.70511999999999997</v>
      </c>
      <c r="CA21" s="6">
        <v>0.71914999999999996</v>
      </c>
      <c r="CB21" s="6">
        <v>0.73257000000000005</v>
      </c>
      <c r="CC21" s="6">
        <v>0.74536999999999998</v>
      </c>
      <c r="CD21" s="6">
        <v>0.75751999999999997</v>
      </c>
      <c r="CE21" s="6">
        <v>0.76902000000000004</v>
      </c>
      <c r="CF21" s="6">
        <v>0.77986</v>
      </c>
      <c r="CG21" s="6">
        <v>0.79001999999999994</v>
      </c>
      <c r="CH21" s="6">
        <v>0.79949999999999999</v>
      </c>
      <c r="CI21" s="6">
        <v>0.80828999999999995</v>
      </c>
      <c r="CJ21" s="6">
        <v>0.81637999999999999</v>
      </c>
      <c r="CK21" s="6">
        <v>0.82377</v>
      </c>
      <c r="CL21" s="6">
        <v>0.83043999999999996</v>
      </c>
      <c r="CM21" s="6">
        <v>0.83638999999999997</v>
      </c>
      <c r="CN21" s="6">
        <v>0.84162000000000003</v>
      </c>
      <c r="CO21" s="6">
        <v>0.84162000000000003</v>
      </c>
      <c r="CP21" s="6">
        <v>0.84611000000000003</v>
      </c>
      <c r="CQ21" s="6">
        <v>0.84985999999999995</v>
      </c>
      <c r="CR21" s="6">
        <v>0.85285</v>
      </c>
      <c r="CS21" s="6">
        <v>0.85507999999999995</v>
      </c>
      <c r="CT21" s="6">
        <v>0.85653000000000001</v>
      </c>
      <c r="CU21" s="6">
        <v>0.85718000000000005</v>
      </c>
      <c r="CV21" s="6">
        <v>0.85702999999999996</v>
      </c>
      <c r="CW21" s="6">
        <v>0.85607</v>
      </c>
      <c r="CX21" s="6">
        <v>0.85426000000000002</v>
      </c>
      <c r="CY21" s="6">
        <v>0.85160999999999998</v>
      </c>
      <c r="CZ21" s="6">
        <v>0.84809000000000001</v>
      </c>
      <c r="DA21" s="6">
        <v>0.84369000000000005</v>
      </c>
      <c r="DB21" s="6">
        <v>0.83840999999999999</v>
      </c>
      <c r="DC21" s="6">
        <v>0.83223000000000003</v>
      </c>
      <c r="DD21" s="6">
        <v>0.82516</v>
      </c>
      <c r="DE21" s="6">
        <v>0.81720000000000004</v>
      </c>
      <c r="DF21" s="6">
        <v>0.80837000000000003</v>
      </c>
      <c r="DG21" s="6">
        <v>0.79867999999999995</v>
      </c>
      <c r="DH21" s="6">
        <v>0.78815999999999997</v>
      </c>
      <c r="DI21" s="6">
        <v>0.77685999999999999</v>
      </c>
      <c r="DJ21" s="6">
        <v>0.76482000000000006</v>
      </c>
      <c r="DK21" s="6">
        <v>0.75210999999999995</v>
      </c>
      <c r="DL21" s="6">
        <v>0.73880000000000001</v>
      </c>
      <c r="DM21" s="6">
        <v>0.72494999999999998</v>
      </c>
      <c r="DN21" s="6">
        <v>0.71067000000000002</v>
      </c>
      <c r="DO21" s="6">
        <v>0.69601999999999997</v>
      </c>
      <c r="DP21" s="6">
        <v>0.68110999999999999</v>
      </c>
      <c r="DQ21" s="6">
        <v>0.66603000000000001</v>
      </c>
      <c r="DR21" s="6">
        <v>0.65085999999999999</v>
      </c>
      <c r="DS21" s="6">
        <v>0.63568999999999998</v>
      </c>
      <c r="DT21" s="6">
        <v>0.62060000000000004</v>
      </c>
      <c r="DU21" s="6">
        <v>0.60567000000000004</v>
      </c>
      <c r="DV21" s="6">
        <v>0.59096000000000004</v>
      </c>
      <c r="DW21" s="6">
        <v>0.57652000000000003</v>
      </c>
      <c r="DX21" s="6">
        <v>0.56242000000000003</v>
      </c>
      <c r="DY21" s="6">
        <v>0.54866999999999999</v>
      </c>
      <c r="DZ21" s="6">
        <v>0.53532999999999997</v>
      </c>
      <c r="EA21" s="6">
        <v>0.52239999999999998</v>
      </c>
      <c r="EB21" s="6">
        <v>0.50990000000000002</v>
      </c>
      <c r="EC21" s="6">
        <v>0.49784</v>
      </c>
      <c r="ED21" s="6">
        <v>0.48621999999999999</v>
      </c>
      <c r="EE21" s="6">
        <v>0.47504000000000002</v>
      </c>
      <c r="EF21" s="6">
        <v>0.46428000000000003</v>
      </c>
      <c r="EG21" s="6">
        <v>0.45395000000000002</v>
      </c>
      <c r="EH21" s="6">
        <v>0.44402000000000003</v>
      </c>
      <c r="EI21" s="6">
        <v>0.43447999999999998</v>
      </c>
      <c r="EJ21" s="6">
        <v>0.42531999999999998</v>
      </c>
      <c r="EK21" s="6">
        <v>0.41652</v>
      </c>
      <c r="EL21" s="6">
        <v>0.40805999999999998</v>
      </c>
      <c r="EM21" s="6">
        <v>0.39993000000000001</v>
      </c>
      <c r="EN21" s="6">
        <v>0.39211000000000001</v>
      </c>
      <c r="EO21" s="6">
        <v>0.38457999999999998</v>
      </c>
      <c r="EP21" s="6">
        <v>0.37734000000000001</v>
      </c>
      <c r="EQ21" s="6">
        <v>0.37036000000000002</v>
      </c>
      <c r="ER21" s="6">
        <v>0.36363000000000001</v>
      </c>
      <c r="ES21" s="6">
        <v>0.35714000000000001</v>
      </c>
      <c r="ET21" s="6">
        <v>0.35087000000000002</v>
      </c>
      <c r="EU21" s="6">
        <v>0.34483000000000003</v>
      </c>
      <c r="EV21" s="6">
        <v>0.33898</v>
      </c>
      <c r="EW21" s="6">
        <v>0.33333000000000002</v>
      </c>
      <c r="EX21" s="6">
        <v>0.32786999999999999</v>
      </c>
      <c r="EY21" s="6">
        <v>0.32257999999999998</v>
      </c>
      <c r="EZ21" s="6">
        <v>0.31746000000000002</v>
      </c>
      <c r="FA21" s="6">
        <v>0.3125</v>
      </c>
      <c r="FB21" s="6">
        <v>0.30769000000000002</v>
      </c>
      <c r="FC21" s="6">
        <v>0.30303000000000002</v>
      </c>
      <c r="FD21" s="6">
        <v>0.29851</v>
      </c>
      <c r="FE21" s="6">
        <v>0.29411999999999999</v>
      </c>
      <c r="FF21" s="6">
        <v>0.28986000000000001</v>
      </c>
      <c r="FG21" s="6">
        <v>0.28571000000000002</v>
      </c>
      <c r="FH21" s="6">
        <v>0.28169</v>
      </c>
      <c r="FI21" s="6">
        <v>0.27778000000000003</v>
      </c>
      <c r="FJ21" s="6">
        <v>0.27396999999999999</v>
      </c>
      <c r="FK21" s="6">
        <v>0.27027000000000001</v>
      </c>
      <c r="FL21" s="6">
        <v>0.26667000000000002</v>
      </c>
      <c r="FM21" s="6">
        <v>0.26316000000000001</v>
      </c>
      <c r="FN21" s="6">
        <v>0.25974000000000003</v>
      </c>
      <c r="FO21" s="6">
        <v>0.25641000000000003</v>
      </c>
      <c r="FP21" s="6">
        <v>0.25316</v>
      </c>
      <c r="FQ21" s="6">
        <v>0.25</v>
      </c>
      <c r="FR21" s="6">
        <v>0.24690999999999999</v>
      </c>
      <c r="FS21" s="6">
        <v>0.24390000000000001</v>
      </c>
      <c r="FT21" s="6">
        <v>0.24096000000000001</v>
      </c>
      <c r="FU21" s="6">
        <v>0.23810000000000001</v>
      </c>
      <c r="FV21" s="6">
        <v>0.23529</v>
      </c>
      <c r="FW21" s="6">
        <v>0.23255999999999999</v>
      </c>
      <c r="FX21" s="6">
        <v>0.22989000000000001</v>
      </c>
      <c r="FY21" s="6">
        <v>0.22727</v>
      </c>
      <c r="FZ21" s="6">
        <v>0.22472</v>
      </c>
      <c r="GA21" s="6">
        <v>0.22222</v>
      </c>
    </row>
    <row r="22" spans="1:183" ht="15" x14ac:dyDescent="0.3">
      <c r="A22" s="33">
        <v>0.1</v>
      </c>
      <c r="B22" s="6">
        <v>0.11146</v>
      </c>
      <c r="C22" s="6">
        <v>0.12272</v>
      </c>
      <c r="D22" s="6">
        <v>0.13431000000000001</v>
      </c>
      <c r="E22" s="6">
        <v>0.14624000000000001</v>
      </c>
      <c r="F22" s="6">
        <v>0.15851000000000001</v>
      </c>
      <c r="G22" s="6">
        <v>0.17113</v>
      </c>
      <c r="H22" s="6">
        <v>0.18407999999999999</v>
      </c>
      <c r="I22" s="6">
        <v>0.19736999999999999</v>
      </c>
      <c r="J22" s="6">
        <v>0.21101</v>
      </c>
      <c r="K22" s="6">
        <v>0.22498000000000001</v>
      </c>
      <c r="L22" s="6">
        <v>0.23929</v>
      </c>
      <c r="M22" s="6">
        <v>0.25394</v>
      </c>
      <c r="N22" s="6">
        <v>0.26891999999999999</v>
      </c>
      <c r="O22" s="6">
        <v>0.28421999999999997</v>
      </c>
      <c r="P22" s="6">
        <v>0.29986000000000002</v>
      </c>
      <c r="Q22" s="6">
        <v>0.31581999999999999</v>
      </c>
      <c r="R22" s="6">
        <v>0.33209</v>
      </c>
      <c r="S22" s="6">
        <v>0.34867999999999999</v>
      </c>
      <c r="T22" s="6">
        <v>0.36557000000000001</v>
      </c>
      <c r="U22" s="6">
        <v>0.38277</v>
      </c>
      <c r="V22" s="6">
        <v>0.40026</v>
      </c>
      <c r="W22" s="6">
        <v>0.41803000000000001</v>
      </c>
      <c r="X22" s="6">
        <v>0.43608000000000002</v>
      </c>
      <c r="Y22" s="6">
        <v>0.45440000000000003</v>
      </c>
      <c r="Z22" s="6">
        <v>0.47299000000000002</v>
      </c>
      <c r="AA22" s="6">
        <v>0.49181999999999998</v>
      </c>
      <c r="AB22" s="6">
        <v>0.51088999999999996</v>
      </c>
      <c r="AC22" s="6">
        <v>0.53019000000000005</v>
      </c>
      <c r="AD22" s="6">
        <v>0.54969999999999997</v>
      </c>
      <c r="AE22" s="6">
        <v>0.56942000000000004</v>
      </c>
      <c r="AF22" s="6">
        <v>0.58933000000000002</v>
      </c>
      <c r="AG22" s="6">
        <v>0.60941000000000001</v>
      </c>
      <c r="AH22" s="6">
        <v>0.62966</v>
      </c>
      <c r="AI22" s="6">
        <v>0.65005999999999997</v>
      </c>
      <c r="AJ22" s="6">
        <v>0.67057999999999995</v>
      </c>
      <c r="AK22" s="6">
        <v>0.69121999999999995</v>
      </c>
      <c r="AL22" s="6">
        <v>0.71194999999999997</v>
      </c>
      <c r="AM22" s="6">
        <v>0.73277000000000003</v>
      </c>
      <c r="AN22" s="6">
        <v>0.75363999999999998</v>
      </c>
      <c r="AO22" s="6">
        <v>0.77454999999999996</v>
      </c>
      <c r="AP22" s="6">
        <v>0.79547999999999996</v>
      </c>
      <c r="AQ22" s="6">
        <v>0.81640999999999997</v>
      </c>
      <c r="AR22" s="6">
        <v>0.83731</v>
      </c>
      <c r="AS22" s="6">
        <v>0.85816999999999999</v>
      </c>
      <c r="AT22" s="6">
        <v>0.87895000000000001</v>
      </c>
      <c r="AU22" s="6">
        <v>0.89964</v>
      </c>
      <c r="AV22" s="6">
        <v>0.92022000000000004</v>
      </c>
      <c r="AW22" s="6">
        <v>0.94064000000000003</v>
      </c>
      <c r="AX22" s="6">
        <v>0.96089999999999998</v>
      </c>
      <c r="AY22" s="6">
        <v>0.98096000000000005</v>
      </c>
      <c r="AZ22" s="6">
        <v>1.0007900000000001</v>
      </c>
      <c r="BA22" s="6">
        <v>1.0203599999999999</v>
      </c>
      <c r="BB22" s="6">
        <v>1.03965</v>
      </c>
      <c r="BC22" s="6">
        <v>1.05863</v>
      </c>
      <c r="BD22" s="6">
        <v>1.0772600000000001</v>
      </c>
      <c r="BE22" s="6">
        <v>1.09552</v>
      </c>
      <c r="BF22" s="6">
        <v>1.11337</v>
      </c>
      <c r="BG22" s="6">
        <v>1.1307799999999999</v>
      </c>
      <c r="BH22" s="6">
        <v>1.1477200000000001</v>
      </c>
      <c r="BI22" s="6">
        <v>1.1641600000000001</v>
      </c>
      <c r="BJ22" s="6">
        <v>1.1800600000000001</v>
      </c>
      <c r="BK22" s="6">
        <v>1.19539</v>
      </c>
      <c r="BL22" s="6">
        <v>1.2101299999999999</v>
      </c>
      <c r="BM22" s="6">
        <v>1.2242200000000001</v>
      </c>
      <c r="BN22" s="6">
        <v>1.23766</v>
      </c>
      <c r="BO22" s="6">
        <v>1.2503899999999999</v>
      </c>
      <c r="BP22" s="6">
        <v>1.2624</v>
      </c>
      <c r="BQ22" s="6">
        <v>1.2736499999999999</v>
      </c>
      <c r="BR22" s="6">
        <v>1.2841199999999999</v>
      </c>
      <c r="BS22" s="6">
        <v>1.2937700000000001</v>
      </c>
      <c r="BT22" s="6">
        <v>1.3025899999999999</v>
      </c>
      <c r="BU22" s="6">
        <v>1.31054</v>
      </c>
      <c r="BV22" s="6">
        <v>1.3176000000000001</v>
      </c>
      <c r="BW22" s="6">
        <v>1.32376</v>
      </c>
      <c r="BX22" s="6">
        <v>1.329</v>
      </c>
      <c r="BY22" s="6">
        <v>1.3332999999999999</v>
      </c>
      <c r="BZ22" s="6">
        <v>1.3366499999999999</v>
      </c>
      <c r="CA22" s="6">
        <v>1.33904</v>
      </c>
      <c r="CB22" s="6">
        <v>1.3404700000000001</v>
      </c>
      <c r="CC22" s="6">
        <v>1.3409199999999999</v>
      </c>
      <c r="CD22" s="6">
        <v>1.34039</v>
      </c>
      <c r="CE22" s="6">
        <v>1.3388899999999999</v>
      </c>
      <c r="CF22" s="6">
        <v>1.3364</v>
      </c>
      <c r="CG22" s="6">
        <v>1.33294</v>
      </c>
      <c r="CH22" s="6">
        <v>1.3285</v>
      </c>
      <c r="CI22" s="6">
        <v>1.3230900000000001</v>
      </c>
      <c r="CJ22" s="6">
        <v>1.31671</v>
      </c>
      <c r="CK22" s="6">
        <v>1.3093600000000001</v>
      </c>
      <c r="CL22" s="6">
        <v>1.30105</v>
      </c>
      <c r="CM22" s="6">
        <v>1.2917799999999999</v>
      </c>
      <c r="CN22" s="6">
        <v>1.28155</v>
      </c>
      <c r="CO22" s="6">
        <v>1.28155</v>
      </c>
      <c r="CP22" s="6">
        <v>1.27037</v>
      </c>
      <c r="CQ22" s="6">
        <v>1.25824</v>
      </c>
      <c r="CR22" s="6">
        <v>1.24516</v>
      </c>
      <c r="CS22" s="6">
        <v>1.2311399999999999</v>
      </c>
      <c r="CT22" s="6">
        <v>1.21618</v>
      </c>
      <c r="CU22" s="6">
        <v>1.20028</v>
      </c>
      <c r="CV22" s="6">
        <v>1.18347</v>
      </c>
      <c r="CW22" s="6">
        <v>1.16574</v>
      </c>
      <c r="CX22" s="6">
        <v>1.1471199999999999</v>
      </c>
      <c r="CY22" s="6">
        <v>1.1276200000000001</v>
      </c>
      <c r="CZ22" s="6">
        <v>1.1072599999999999</v>
      </c>
      <c r="DA22" s="6">
        <v>1.0860799999999999</v>
      </c>
      <c r="DB22" s="6">
        <v>1.06413</v>
      </c>
      <c r="DC22" s="6">
        <v>1.0414399999999999</v>
      </c>
      <c r="DD22" s="6">
        <v>1.0181</v>
      </c>
      <c r="DE22" s="6">
        <v>0.99417999999999995</v>
      </c>
      <c r="DF22" s="6">
        <v>0.96977000000000002</v>
      </c>
      <c r="DG22" s="6">
        <v>0.94496000000000002</v>
      </c>
      <c r="DH22" s="6">
        <v>0.91988000000000003</v>
      </c>
      <c r="DI22" s="6">
        <v>0.89463999999999999</v>
      </c>
      <c r="DJ22" s="6">
        <v>0.86938000000000004</v>
      </c>
      <c r="DK22" s="6">
        <v>0.84421999999999997</v>
      </c>
      <c r="DL22" s="6">
        <v>0.81928999999999996</v>
      </c>
      <c r="DM22" s="6">
        <v>0.79471999999999998</v>
      </c>
      <c r="DN22" s="6">
        <v>0.77061999999999997</v>
      </c>
      <c r="DO22" s="6">
        <v>0.74709000000000003</v>
      </c>
      <c r="DP22" s="6">
        <v>0.72421999999999997</v>
      </c>
      <c r="DQ22" s="6">
        <v>0.70208999999999999</v>
      </c>
      <c r="DR22" s="6">
        <v>0.68074999999999997</v>
      </c>
      <c r="DS22" s="6">
        <v>0.66022999999999998</v>
      </c>
      <c r="DT22" s="6">
        <v>0.64056000000000002</v>
      </c>
      <c r="DU22" s="6">
        <v>0.62175000000000002</v>
      </c>
      <c r="DV22" s="6">
        <v>0.60379000000000005</v>
      </c>
      <c r="DW22" s="6">
        <v>0.58665999999999996</v>
      </c>
      <c r="DX22" s="6">
        <v>0.57035000000000002</v>
      </c>
      <c r="DY22" s="6">
        <v>0.55483000000000005</v>
      </c>
      <c r="DZ22" s="6">
        <v>0.54005999999999998</v>
      </c>
      <c r="EA22" s="6">
        <v>0.52600000000000002</v>
      </c>
      <c r="EB22" s="6">
        <v>0.51261000000000001</v>
      </c>
      <c r="EC22" s="6">
        <v>0.49986000000000003</v>
      </c>
      <c r="ED22" s="6">
        <v>0.48771999999999999</v>
      </c>
      <c r="EE22" s="6">
        <v>0.47614000000000001</v>
      </c>
      <c r="EF22" s="6">
        <v>0.46507999999999999</v>
      </c>
      <c r="EG22" s="6">
        <v>0.45451999999999998</v>
      </c>
      <c r="EH22" s="6">
        <v>0.44442999999999999</v>
      </c>
      <c r="EI22" s="6">
        <v>0.43476999999999999</v>
      </c>
      <c r="EJ22" s="6">
        <v>0.42553000000000002</v>
      </c>
      <c r="EK22" s="6">
        <v>0.41665999999999997</v>
      </c>
      <c r="EL22" s="6">
        <v>0.40816000000000002</v>
      </c>
      <c r="EM22" s="6">
        <v>0.4</v>
      </c>
      <c r="EN22" s="6">
        <v>0.39216000000000001</v>
      </c>
      <c r="EO22" s="6">
        <v>0.38462000000000002</v>
      </c>
      <c r="EP22" s="6">
        <v>0.37735999999999997</v>
      </c>
      <c r="EQ22" s="6">
        <v>0.37036999999999998</v>
      </c>
      <c r="ER22" s="6">
        <v>0.36364000000000002</v>
      </c>
      <c r="ES22" s="6">
        <v>0.35714000000000001</v>
      </c>
      <c r="ET22" s="6">
        <v>0.35088000000000003</v>
      </c>
      <c r="EU22" s="6">
        <v>0.34483000000000003</v>
      </c>
      <c r="EV22" s="6">
        <v>0.33898</v>
      </c>
      <c r="EW22" s="6">
        <v>0.33333000000000002</v>
      </c>
      <c r="EX22" s="6">
        <v>0.32786999999999999</v>
      </c>
      <c r="EY22" s="6">
        <v>0.32257999999999998</v>
      </c>
      <c r="EZ22" s="6">
        <v>0.31746000000000002</v>
      </c>
      <c r="FA22" s="6">
        <v>0.3125</v>
      </c>
      <c r="FB22" s="6">
        <v>0.30769000000000002</v>
      </c>
      <c r="FC22" s="6">
        <v>0.30303000000000002</v>
      </c>
      <c r="FD22" s="6">
        <v>0.29851</v>
      </c>
      <c r="FE22" s="6">
        <v>0.29411999999999999</v>
      </c>
      <c r="FF22" s="6">
        <v>0.28986000000000001</v>
      </c>
      <c r="FG22" s="6">
        <v>0.28571000000000002</v>
      </c>
      <c r="FH22" s="6">
        <v>0.28169</v>
      </c>
      <c r="FI22" s="6">
        <v>0.27778000000000003</v>
      </c>
      <c r="FJ22" s="6">
        <v>0.27396999999999999</v>
      </c>
      <c r="FK22" s="6">
        <v>0.27027000000000001</v>
      </c>
      <c r="FL22" s="6">
        <v>0.26667000000000002</v>
      </c>
      <c r="FM22" s="6">
        <v>0.26316000000000001</v>
      </c>
      <c r="FN22" s="6">
        <v>0.25974000000000003</v>
      </c>
      <c r="FO22" s="6">
        <v>0.25641000000000003</v>
      </c>
      <c r="FP22" s="6">
        <v>0.25316</v>
      </c>
      <c r="FQ22" s="6">
        <v>0.25</v>
      </c>
      <c r="FR22" s="6">
        <v>0.24690999999999999</v>
      </c>
      <c r="FS22" s="6">
        <v>0.24390000000000001</v>
      </c>
      <c r="FT22" s="6">
        <v>0.24096000000000001</v>
      </c>
      <c r="FU22" s="6">
        <v>0.23810000000000001</v>
      </c>
      <c r="FV22" s="6">
        <v>0.23529</v>
      </c>
      <c r="FW22" s="6">
        <v>0.23255999999999999</v>
      </c>
      <c r="FX22" s="6">
        <v>0.22989000000000001</v>
      </c>
      <c r="FY22" s="6">
        <v>0.22727</v>
      </c>
      <c r="FZ22" s="6">
        <v>0.22472</v>
      </c>
      <c r="GA22" s="6">
        <v>0.22222</v>
      </c>
    </row>
    <row r="23" spans="1:183" ht="15" x14ac:dyDescent="0.3">
      <c r="A23" s="10">
        <v>0.05</v>
      </c>
      <c r="B23" s="6">
        <v>0.95435000000000003</v>
      </c>
      <c r="C23" s="6">
        <v>0.97470999999999997</v>
      </c>
      <c r="D23" s="6">
        <v>0.99519000000000002</v>
      </c>
      <c r="E23" s="6">
        <v>1.0158100000000001</v>
      </c>
      <c r="F23" s="6">
        <v>1.03654</v>
      </c>
      <c r="G23" s="6">
        <v>1.05738</v>
      </c>
      <c r="H23" s="6">
        <v>1.0783199999999999</v>
      </c>
      <c r="I23" s="6">
        <v>1.0993599999999999</v>
      </c>
      <c r="J23" s="6">
        <v>1.1204799999999999</v>
      </c>
      <c r="K23" s="6">
        <v>1.14168</v>
      </c>
      <c r="L23" s="6">
        <v>1.1629499999999999</v>
      </c>
      <c r="M23" s="6">
        <v>1.1842699999999999</v>
      </c>
      <c r="N23" s="6">
        <v>1.2056500000000001</v>
      </c>
      <c r="O23" s="6">
        <v>1.22706</v>
      </c>
      <c r="P23" s="6">
        <v>1.2484999999999999</v>
      </c>
      <c r="Q23" s="6">
        <v>1.2699499999999999</v>
      </c>
      <c r="R23" s="6">
        <v>1.2914099999999999</v>
      </c>
      <c r="S23" s="6">
        <v>1.31287</v>
      </c>
      <c r="T23" s="6">
        <v>1.3343</v>
      </c>
      <c r="U23" s="6">
        <v>1.35571</v>
      </c>
      <c r="V23" s="6">
        <v>1.3770800000000001</v>
      </c>
      <c r="W23" s="6">
        <v>1.39839</v>
      </c>
      <c r="X23" s="6">
        <v>1.4196299999999999</v>
      </c>
      <c r="Y23" s="6">
        <v>1.44079</v>
      </c>
      <c r="Z23" s="6">
        <v>1.4618599999999999</v>
      </c>
      <c r="AA23" s="6">
        <v>1.48281</v>
      </c>
      <c r="AB23" s="6">
        <v>1.5036499999999999</v>
      </c>
      <c r="AC23" s="6">
        <v>1.52434</v>
      </c>
      <c r="AD23" s="6">
        <v>1.54487</v>
      </c>
      <c r="AE23" s="6">
        <v>1.56524</v>
      </c>
      <c r="AF23" s="6">
        <v>1.58541</v>
      </c>
      <c r="AG23" s="6">
        <v>1.60538</v>
      </c>
      <c r="AH23" s="6">
        <v>1.62513</v>
      </c>
      <c r="AI23" s="6">
        <v>1.6446400000000001</v>
      </c>
      <c r="AJ23" s="6">
        <v>1.6638999999999999</v>
      </c>
      <c r="AK23" s="6">
        <v>1.6828700000000001</v>
      </c>
      <c r="AL23" s="6">
        <v>1.7015499999999999</v>
      </c>
      <c r="AM23" s="6">
        <v>1.7199199999999999</v>
      </c>
      <c r="AN23" s="6">
        <v>1.7379500000000001</v>
      </c>
      <c r="AO23" s="6">
        <v>1.75563</v>
      </c>
      <c r="AP23" s="6">
        <v>1.7729200000000001</v>
      </c>
      <c r="AQ23" s="6">
        <v>1.78982</v>
      </c>
      <c r="AR23" s="6">
        <v>1.8063100000000001</v>
      </c>
      <c r="AS23" s="6">
        <v>1.8223400000000001</v>
      </c>
      <c r="AT23" s="6">
        <v>1.83792</v>
      </c>
      <c r="AU23" s="6">
        <v>1.853</v>
      </c>
      <c r="AV23" s="6">
        <v>1.86757</v>
      </c>
      <c r="AW23" s="6">
        <v>1.8815999999999999</v>
      </c>
      <c r="AX23" s="6">
        <v>1.8950800000000001</v>
      </c>
      <c r="AY23" s="6">
        <v>1.9079600000000001</v>
      </c>
      <c r="AZ23" s="6">
        <v>1.9202300000000001</v>
      </c>
      <c r="BA23" s="6">
        <v>1.9318599999999999</v>
      </c>
      <c r="BB23" s="6">
        <v>1.9428300000000001</v>
      </c>
      <c r="BC23" s="6">
        <v>1.9531099999999999</v>
      </c>
      <c r="BD23" s="6">
        <v>1.9626600000000001</v>
      </c>
      <c r="BE23" s="6">
        <v>1.9714700000000001</v>
      </c>
      <c r="BF23" s="6">
        <v>1.9795100000000001</v>
      </c>
      <c r="BG23" s="6">
        <v>1.98674</v>
      </c>
      <c r="BH23" s="6">
        <v>1.9931399999999999</v>
      </c>
      <c r="BI23" s="6">
        <v>1.9986900000000001</v>
      </c>
      <c r="BJ23" s="6">
        <v>2.0033500000000002</v>
      </c>
      <c r="BK23" s="6">
        <v>2.0070999999999999</v>
      </c>
      <c r="BL23" s="6">
        <v>7.0099200000000002</v>
      </c>
      <c r="BM23" s="6">
        <v>2.0117699999999998</v>
      </c>
      <c r="BN23" s="6">
        <v>2.0126300000000001</v>
      </c>
      <c r="BO23" s="6">
        <v>2.01247</v>
      </c>
      <c r="BP23" s="6">
        <v>2.0112800000000002</v>
      </c>
      <c r="BQ23" s="6">
        <v>2.0090300000000001</v>
      </c>
      <c r="BR23" s="6">
        <v>2.0057</v>
      </c>
      <c r="BS23" s="6">
        <v>2.0012799999999999</v>
      </c>
      <c r="BT23" s="6">
        <v>1.99573</v>
      </c>
      <c r="BU23" s="6">
        <v>1.9890600000000001</v>
      </c>
      <c r="BV23" s="6">
        <v>1.9812399999999999</v>
      </c>
      <c r="BW23" s="6">
        <v>1.97227</v>
      </c>
      <c r="BX23" s="6">
        <v>1.9621299999999999</v>
      </c>
      <c r="BY23" s="6">
        <v>1.9508300000000001</v>
      </c>
      <c r="BZ23" s="6">
        <v>1.9383600000000001</v>
      </c>
      <c r="CA23" s="6">
        <v>1.92472</v>
      </c>
      <c r="CB23" s="6">
        <v>1.9099200000000001</v>
      </c>
      <c r="CC23" s="6">
        <v>1.89395</v>
      </c>
      <c r="CD23" s="6">
        <v>1.87683</v>
      </c>
      <c r="CE23" s="6">
        <v>1.85856</v>
      </c>
      <c r="CF23" s="6">
        <v>1.8391599999999999</v>
      </c>
      <c r="CG23" s="6">
        <v>1.81864</v>
      </c>
      <c r="CH23" s="6">
        <v>1.79701</v>
      </c>
      <c r="CI23" s="6">
        <v>1.7742800000000001</v>
      </c>
      <c r="CJ23" s="6">
        <v>1.75048</v>
      </c>
      <c r="CK23" s="6">
        <v>1.7256199999999999</v>
      </c>
      <c r="CL23" s="6">
        <v>1.6997100000000001</v>
      </c>
      <c r="CM23" s="6">
        <v>1.67279</v>
      </c>
      <c r="CN23" s="6">
        <v>1.6448499999999999</v>
      </c>
      <c r="CO23" s="6">
        <v>1.6448499999999999</v>
      </c>
      <c r="CP23" s="6">
        <v>1.6159399999999999</v>
      </c>
      <c r="CQ23" s="6">
        <v>1.5860700000000001</v>
      </c>
      <c r="CR23" s="6">
        <v>1.5552699999999999</v>
      </c>
      <c r="CS23" s="6">
        <v>1.5235700000000001</v>
      </c>
      <c r="CT23" s="6">
        <v>1.4910099999999999</v>
      </c>
      <c r="CU23" s="6">
        <v>1.4576199999999999</v>
      </c>
      <c r="CV23" s="6">
        <v>1.4234500000000001</v>
      </c>
      <c r="CW23" s="6">
        <v>1.38855</v>
      </c>
      <c r="CX23" s="6">
        <v>1.3529899999999999</v>
      </c>
      <c r="CY23" s="6">
        <v>1.31684</v>
      </c>
      <c r="CZ23" s="6">
        <v>1.2801899999999999</v>
      </c>
      <c r="DA23" s="6">
        <v>1.2431300000000001</v>
      </c>
      <c r="DB23" s="6">
        <v>1.2057800000000001</v>
      </c>
      <c r="DC23" s="6">
        <v>1.1682699999999999</v>
      </c>
      <c r="DD23" s="6">
        <v>1.1307499999999999</v>
      </c>
      <c r="DE23" s="6">
        <v>1.09338</v>
      </c>
      <c r="DF23" s="6">
        <v>1.0563100000000001</v>
      </c>
      <c r="DG23" s="6">
        <v>1.01973</v>
      </c>
      <c r="DH23" s="6">
        <v>0.98380999999999996</v>
      </c>
      <c r="DI23" s="6">
        <v>0.94871000000000005</v>
      </c>
      <c r="DJ23" s="6">
        <v>0.91457999999999995</v>
      </c>
      <c r="DK23" s="6">
        <v>0.88156000000000001</v>
      </c>
      <c r="DL23" s="6">
        <v>0.84975999999999996</v>
      </c>
      <c r="DM23" s="6">
        <v>0.81927000000000005</v>
      </c>
      <c r="DN23" s="6">
        <v>0.79015000000000002</v>
      </c>
      <c r="DO23" s="6">
        <v>0.76241999999999999</v>
      </c>
      <c r="DP23" s="6">
        <v>0.73609999999999998</v>
      </c>
      <c r="DQ23" s="6">
        <v>0.71116000000000001</v>
      </c>
      <c r="DR23" s="6">
        <v>0.68759000000000003</v>
      </c>
      <c r="DS23" s="6">
        <v>0.66532000000000002</v>
      </c>
      <c r="DT23" s="6">
        <v>0.64429000000000003</v>
      </c>
      <c r="DU23" s="6">
        <v>0.62444999999999995</v>
      </c>
      <c r="DV23" s="6">
        <v>0.60572000000000004</v>
      </c>
      <c r="DW23" s="6">
        <v>0.58801999999999999</v>
      </c>
      <c r="DX23" s="6">
        <v>0.57130000000000003</v>
      </c>
      <c r="DY23" s="6">
        <v>0.55547999999999997</v>
      </c>
      <c r="DZ23" s="6">
        <v>0.54049999999999998</v>
      </c>
      <c r="EA23" s="6">
        <v>0.52629000000000004</v>
      </c>
      <c r="EB23" s="6">
        <v>0.51280999999999999</v>
      </c>
      <c r="EC23" s="6">
        <v>0.49998999999999999</v>
      </c>
      <c r="ED23" s="6">
        <v>0.48780000000000001</v>
      </c>
      <c r="EE23" s="6">
        <v>0.47619</v>
      </c>
      <c r="EF23" s="6">
        <v>0.46511000000000002</v>
      </c>
      <c r="EG23" s="6">
        <v>0.45454</v>
      </c>
      <c r="EH23" s="6">
        <v>0.44444</v>
      </c>
      <c r="EI23" s="6">
        <v>0.43478</v>
      </c>
      <c r="EJ23" s="6">
        <v>0.42553000000000002</v>
      </c>
      <c r="EK23" s="6">
        <v>0.41666999999999998</v>
      </c>
      <c r="EL23" s="6">
        <v>0.40816000000000002</v>
      </c>
      <c r="EM23" s="6">
        <v>0.4</v>
      </c>
      <c r="EN23" s="6">
        <v>0.39216000000000001</v>
      </c>
      <c r="EO23" s="6">
        <v>0.38462000000000002</v>
      </c>
      <c r="EP23" s="6">
        <v>0.37735999999999997</v>
      </c>
      <c r="EQ23" s="6">
        <v>0.37036999999999998</v>
      </c>
      <c r="ER23" s="6">
        <v>0.36364000000000002</v>
      </c>
      <c r="ES23" s="6">
        <v>0.35714000000000001</v>
      </c>
      <c r="ET23" s="6">
        <v>0.35088000000000003</v>
      </c>
      <c r="EU23" s="6">
        <v>0.34483000000000003</v>
      </c>
      <c r="EV23" s="6">
        <v>0.33898</v>
      </c>
      <c r="EW23" s="6">
        <v>0.33333000000000002</v>
      </c>
      <c r="EX23" s="6">
        <v>0.32786999999999999</v>
      </c>
      <c r="EY23" s="6">
        <v>0.32257999999999998</v>
      </c>
      <c r="EZ23" s="6">
        <v>0.31746000000000002</v>
      </c>
      <c r="FA23" s="6">
        <v>0.3125</v>
      </c>
      <c r="FB23" s="6">
        <v>0.30769000000000002</v>
      </c>
      <c r="FC23" s="6">
        <v>0.30303000000000002</v>
      </c>
      <c r="FD23" s="6">
        <v>0.29851</v>
      </c>
      <c r="FE23" s="6">
        <v>0.29411999999999999</v>
      </c>
      <c r="FF23" s="6">
        <v>0.28986000000000001</v>
      </c>
      <c r="FG23" s="6">
        <v>0.28571000000000002</v>
      </c>
      <c r="FH23" s="6">
        <v>0.28169</v>
      </c>
      <c r="FI23" s="6">
        <v>0.27778000000000003</v>
      </c>
      <c r="FJ23" s="6">
        <v>0.27396999999999999</v>
      </c>
      <c r="FK23" s="6">
        <v>0.27027000000000001</v>
      </c>
      <c r="FL23" s="6">
        <v>0.26667000000000002</v>
      </c>
      <c r="FM23" s="6">
        <v>0.26316000000000001</v>
      </c>
      <c r="FN23" s="6">
        <v>0.25974000000000003</v>
      </c>
      <c r="FO23" s="6">
        <v>0.25641000000000003</v>
      </c>
      <c r="FP23" s="6">
        <v>0.25316</v>
      </c>
      <c r="FQ23" s="6">
        <v>0.25</v>
      </c>
      <c r="FR23" s="6">
        <v>0.24690999999999999</v>
      </c>
      <c r="FS23" s="6">
        <v>0.24390000000000001</v>
      </c>
      <c r="FT23" s="6">
        <v>0.24096000000000001</v>
      </c>
      <c r="FU23" s="6">
        <v>0.23810000000000001</v>
      </c>
      <c r="FV23" s="6">
        <v>0.23529</v>
      </c>
      <c r="FW23" s="6">
        <v>0.23255999999999999</v>
      </c>
      <c r="FX23" s="6">
        <v>0.22989000000000001</v>
      </c>
      <c r="FY23" s="6">
        <v>0.22727</v>
      </c>
      <c r="FZ23" s="6">
        <v>0.22472</v>
      </c>
      <c r="GA23" s="6">
        <v>0.22222</v>
      </c>
    </row>
    <row r="24" spans="1:183" ht="15" x14ac:dyDescent="0.3">
      <c r="A24" s="10">
        <v>0.04</v>
      </c>
      <c r="B24" s="6">
        <v>1.3392200000000001</v>
      </c>
      <c r="C24" s="6">
        <v>1.3606499999999999</v>
      </c>
      <c r="D24" s="6">
        <v>1.3821300000000001</v>
      </c>
      <c r="E24" s="6">
        <v>1.40364</v>
      </c>
      <c r="F24" s="6">
        <v>1.4251799999999999</v>
      </c>
      <c r="G24" s="6">
        <v>1.4467300000000001</v>
      </c>
      <c r="H24" s="6">
        <v>1.4682900000000001</v>
      </c>
      <c r="I24" s="6">
        <v>1.4898499999999999</v>
      </c>
      <c r="J24" s="6">
        <v>1.5114099999999999</v>
      </c>
      <c r="K24" s="6">
        <v>1.53294</v>
      </c>
      <c r="L24" s="6">
        <v>1.55444</v>
      </c>
      <c r="M24" s="6">
        <v>1.5759099999999999</v>
      </c>
      <c r="N24" s="6">
        <v>1.5973200000000001</v>
      </c>
      <c r="O24" s="6">
        <v>1.6186700000000001</v>
      </c>
      <c r="P24" s="6">
        <v>1.63995</v>
      </c>
      <c r="Q24" s="6">
        <v>1.6611499999999999</v>
      </c>
      <c r="R24" s="6">
        <v>1.68225</v>
      </c>
      <c r="S24" s="6">
        <v>1.7032499999999999</v>
      </c>
      <c r="T24" s="6">
        <v>1.7241200000000001</v>
      </c>
      <c r="U24" s="6">
        <v>1.7448699999999999</v>
      </c>
      <c r="V24" s="6">
        <v>1.7654700000000001</v>
      </c>
      <c r="W24" s="6">
        <v>1.7859100000000001</v>
      </c>
      <c r="X24" s="6">
        <v>1.8061799999999999</v>
      </c>
      <c r="Y24" s="6">
        <v>1.8262700000000001</v>
      </c>
      <c r="Z24" s="6">
        <v>1.84616</v>
      </c>
      <c r="AA24" s="6">
        <v>1.8658399999999999</v>
      </c>
      <c r="AB24" s="6">
        <v>1.8852800000000001</v>
      </c>
      <c r="AC24" s="6">
        <v>1.90449</v>
      </c>
      <c r="AD24" s="6">
        <v>1.92343</v>
      </c>
      <c r="AE24" s="6">
        <v>1.9420999999999999</v>
      </c>
      <c r="AF24" s="6">
        <v>1.96048</v>
      </c>
      <c r="AG24" s="6">
        <v>1.97855</v>
      </c>
      <c r="AH24" s="6">
        <v>1.9962899999999999</v>
      </c>
      <c r="AI24" s="6">
        <v>2.01369</v>
      </c>
      <c r="AJ24" s="6">
        <v>2.0307300000000001</v>
      </c>
      <c r="AK24" s="6">
        <v>2.04739</v>
      </c>
      <c r="AL24" s="6">
        <v>2.06365</v>
      </c>
      <c r="AM24" s="6">
        <v>2.0794999999999999</v>
      </c>
      <c r="AN24" s="6">
        <v>2.0949</v>
      </c>
      <c r="AO24" s="6">
        <v>2.1098499999999998</v>
      </c>
      <c r="AP24" s="6">
        <v>2.12432</v>
      </c>
      <c r="AQ24" s="6">
        <v>2.13829</v>
      </c>
      <c r="AR24" s="6">
        <v>2.1517400000000002</v>
      </c>
      <c r="AS24" s="6">
        <v>2.16465</v>
      </c>
      <c r="AT24" s="6">
        <v>2.17699</v>
      </c>
      <c r="AU24" s="6">
        <v>2.1887400000000001</v>
      </c>
      <c r="AV24" s="6">
        <v>2.1998799999999998</v>
      </c>
      <c r="AW24" s="6">
        <v>2.2103899999999999</v>
      </c>
      <c r="AX24" s="6">
        <v>2.22024</v>
      </c>
      <c r="AY24" s="6">
        <v>2.2294</v>
      </c>
      <c r="AZ24" s="6">
        <v>2.23786</v>
      </c>
      <c r="BA24" s="6">
        <v>2.2455799999999999</v>
      </c>
      <c r="BB24" s="6">
        <v>2.2525400000000002</v>
      </c>
      <c r="BC24" s="6">
        <v>2.2587199999999998</v>
      </c>
      <c r="BD24" s="6">
        <v>2.2640899999999999</v>
      </c>
      <c r="BE24" s="6">
        <v>2.2686199999999999</v>
      </c>
      <c r="BF24" s="6">
        <v>2.2722899999999999</v>
      </c>
      <c r="BG24" s="6">
        <v>2.2750599999999999</v>
      </c>
      <c r="BH24" s="6">
        <v>2.2769300000000001</v>
      </c>
      <c r="BI24" s="6">
        <v>2.2778499999999999</v>
      </c>
      <c r="BJ24" s="6">
        <v>2.2778</v>
      </c>
      <c r="BK24" s="6">
        <v>2.2767599999999999</v>
      </c>
      <c r="BL24" s="6">
        <v>2.2747000000000002</v>
      </c>
      <c r="BM24" s="6">
        <v>2.2715999999999998</v>
      </c>
      <c r="BN24" s="6">
        <v>2.2674300000000001</v>
      </c>
      <c r="BO24" s="6">
        <v>2.2621699999999998</v>
      </c>
      <c r="BP24" s="6">
        <v>2.2558099999999999</v>
      </c>
      <c r="BQ24" s="6">
        <v>2.24831</v>
      </c>
      <c r="BR24" s="6">
        <v>2.2396699999999998</v>
      </c>
      <c r="BS24" s="6">
        <v>2.22986</v>
      </c>
      <c r="BT24" s="6">
        <v>2.21888</v>
      </c>
      <c r="BU24" s="6">
        <v>2.2067000000000001</v>
      </c>
      <c r="BV24" s="6">
        <v>2.1933199999999999</v>
      </c>
      <c r="BW24" s="6">
        <v>2.1787299999999998</v>
      </c>
      <c r="BX24" s="6">
        <v>2.1629299999999998</v>
      </c>
      <c r="BY24" s="6">
        <v>2.1459100000000002</v>
      </c>
      <c r="BZ24" s="6">
        <v>2.1276799999999998</v>
      </c>
      <c r="CA24" s="6">
        <v>2.1082299999999998</v>
      </c>
      <c r="CB24" s="6">
        <v>2.08758</v>
      </c>
      <c r="CC24" s="6">
        <v>2.0657299999999998</v>
      </c>
      <c r="CD24" s="6">
        <v>2.0426899999999999</v>
      </c>
      <c r="CE24" s="6">
        <v>2.0184799999999998</v>
      </c>
      <c r="CF24" s="6">
        <v>1.9931099999999999</v>
      </c>
      <c r="CG24" s="6">
        <v>1.9665999999999999</v>
      </c>
      <c r="CH24" s="6">
        <v>1.93896</v>
      </c>
      <c r="CI24" s="6">
        <v>1.91022</v>
      </c>
      <c r="CJ24" s="6">
        <v>1.88039</v>
      </c>
      <c r="CK24" s="6">
        <v>1.8494900000000001</v>
      </c>
      <c r="CL24" s="6">
        <v>1.8175600000000001</v>
      </c>
      <c r="CM24" s="6">
        <v>1.7846200000000001</v>
      </c>
      <c r="CN24" s="6">
        <v>1.7506900000000001</v>
      </c>
      <c r="CO24" s="6">
        <v>1.7506900000000001</v>
      </c>
      <c r="CP24" s="6">
        <v>1.7158</v>
      </c>
      <c r="CQ24" s="30">
        <v>1.6799900000000001</v>
      </c>
      <c r="CR24" s="30">
        <v>1.6432899999999999</v>
      </c>
      <c r="CS24" s="6">
        <v>1.6057399999999999</v>
      </c>
      <c r="CT24" s="6">
        <v>1.5673999999999999</v>
      </c>
      <c r="CU24" s="6">
        <v>1.5283</v>
      </c>
      <c r="CV24" s="6">
        <v>1.4885200000000001</v>
      </c>
      <c r="CW24" s="6">
        <v>1.4481299999999999</v>
      </c>
      <c r="CX24" s="6">
        <v>1.4072</v>
      </c>
      <c r="CY24" s="6">
        <v>1.3658399999999999</v>
      </c>
      <c r="CZ24" s="6">
        <v>1.3241400000000001</v>
      </c>
      <c r="DA24" s="6">
        <v>1.2822499999999999</v>
      </c>
      <c r="DB24" s="6">
        <v>1.24028</v>
      </c>
      <c r="DC24" s="6">
        <v>1.19842</v>
      </c>
      <c r="DD24" s="6">
        <v>1.15682</v>
      </c>
      <c r="DE24" s="6">
        <v>1.1156600000000001</v>
      </c>
      <c r="DF24" s="6">
        <v>1.0751299999999999</v>
      </c>
      <c r="DG24" s="6">
        <v>1.0354300000000001</v>
      </c>
      <c r="DH24" s="6">
        <v>0.99672000000000005</v>
      </c>
      <c r="DI24" s="6">
        <v>0.95918000000000003</v>
      </c>
      <c r="DJ24" s="6">
        <v>0.92295000000000005</v>
      </c>
      <c r="DK24" s="6">
        <v>0.88814000000000004</v>
      </c>
      <c r="DL24" s="6">
        <v>0.85485999999999995</v>
      </c>
      <c r="DM24" s="6">
        <v>0.82315000000000005</v>
      </c>
      <c r="DN24" s="6">
        <v>0.79305999999999999</v>
      </c>
      <c r="DO24" s="6">
        <v>0.76456000000000002</v>
      </c>
      <c r="DP24" s="6">
        <v>0.73765000000000003</v>
      </c>
      <c r="DQ24" s="6">
        <v>0.71226999999999996</v>
      </c>
      <c r="DR24" s="6">
        <v>0.68835999999999997</v>
      </c>
      <c r="DS24" s="6">
        <v>0.66585000000000005</v>
      </c>
      <c r="DT24" s="6">
        <v>0.64464999999999995</v>
      </c>
      <c r="DU24" s="6">
        <v>0.62468999999999997</v>
      </c>
      <c r="DV24" s="6">
        <v>0.60587000000000002</v>
      </c>
      <c r="DW24" s="6">
        <v>0.58811999999999998</v>
      </c>
      <c r="DX24" s="6">
        <v>0.57135999999999998</v>
      </c>
      <c r="DY24" s="6">
        <v>0.55552000000000001</v>
      </c>
      <c r="DZ24" s="6">
        <v>0.54052</v>
      </c>
      <c r="EA24" s="6">
        <v>0.52629999999999999</v>
      </c>
      <c r="EB24" s="6">
        <v>0.51280999999999999</v>
      </c>
      <c r="EC24" s="6">
        <v>0.5</v>
      </c>
      <c r="ED24" s="6">
        <v>0.48780000000000001</v>
      </c>
      <c r="EE24" s="6">
        <v>0.47619</v>
      </c>
      <c r="EF24" s="6">
        <v>0.46511999999999998</v>
      </c>
      <c r="EG24" s="6">
        <v>0.45455000000000001</v>
      </c>
      <c r="EH24" s="6">
        <v>0.44444</v>
      </c>
      <c r="EI24" s="6">
        <v>0.43478</v>
      </c>
      <c r="EJ24" s="6">
        <v>0.42553000000000002</v>
      </c>
      <c r="EK24" s="6">
        <v>0.41666999999999998</v>
      </c>
      <c r="EL24" s="6">
        <v>0.40816000000000002</v>
      </c>
      <c r="EM24" s="6">
        <v>0.4</v>
      </c>
      <c r="EN24" s="6">
        <v>0.39216000000000001</v>
      </c>
      <c r="EO24" s="6">
        <v>0.38462000000000002</v>
      </c>
      <c r="EP24" s="6">
        <v>0.37735999999999997</v>
      </c>
      <c r="EQ24" s="6">
        <v>0.37036999999999998</v>
      </c>
      <c r="ER24" s="6">
        <v>0.36364000000000002</v>
      </c>
      <c r="ES24" s="6">
        <v>0.35714000000000001</v>
      </c>
      <c r="ET24" s="6">
        <v>0.35088000000000003</v>
      </c>
      <c r="EU24" s="6">
        <v>0.34483000000000003</v>
      </c>
      <c r="EV24" s="6">
        <v>0.33898</v>
      </c>
      <c r="EW24" s="6">
        <v>0.33333000000000002</v>
      </c>
      <c r="EX24" s="6">
        <v>0.32786999999999999</v>
      </c>
      <c r="EY24" s="6">
        <v>0.32257999999999998</v>
      </c>
      <c r="EZ24" s="6">
        <v>0.31746000000000002</v>
      </c>
      <c r="FA24" s="6">
        <v>0.3125</v>
      </c>
      <c r="FB24" s="6">
        <v>0.30769000000000002</v>
      </c>
      <c r="FC24" s="6">
        <v>0.30303000000000002</v>
      </c>
      <c r="FD24" s="6">
        <v>0.29851</v>
      </c>
      <c r="FE24" s="6">
        <v>0.29411999999999999</v>
      </c>
      <c r="FF24" s="6">
        <v>0.28986000000000001</v>
      </c>
      <c r="FG24" s="6">
        <v>0.28571000000000002</v>
      </c>
      <c r="FH24" s="6">
        <v>0.28169</v>
      </c>
      <c r="FI24" s="6">
        <v>0.27778000000000003</v>
      </c>
      <c r="FJ24" s="6">
        <v>0.27396999999999999</v>
      </c>
      <c r="FK24" s="6">
        <v>0.27027000000000001</v>
      </c>
      <c r="FL24" s="6">
        <v>0.26667000000000002</v>
      </c>
      <c r="FM24" s="6">
        <v>0.26316000000000001</v>
      </c>
      <c r="FN24" s="6">
        <v>0.25974000000000003</v>
      </c>
      <c r="FO24" s="6">
        <v>0.25641000000000003</v>
      </c>
      <c r="FP24" s="6">
        <v>0.25316</v>
      </c>
      <c r="FQ24" s="6">
        <v>0.25</v>
      </c>
      <c r="FR24" s="6">
        <v>0.24690999999999999</v>
      </c>
      <c r="FS24" s="6">
        <v>0.24390000000000001</v>
      </c>
      <c r="FT24" s="6">
        <v>0.24096000000000001</v>
      </c>
      <c r="FU24" s="6">
        <v>0.23810000000000001</v>
      </c>
      <c r="FV24" s="6">
        <v>0.23529</v>
      </c>
      <c r="FW24" s="6">
        <v>0.23255999999999999</v>
      </c>
      <c r="FX24" s="6">
        <v>0.22989000000000001</v>
      </c>
      <c r="FY24" s="6">
        <v>0.22727</v>
      </c>
      <c r="FZ24" s="6">
        <v>0.22472</v>
      </c>
      <c r="GA24" s="6">
        <v>0.22222</v>
      </c>
    </row>
    <row r="25" spans="1:183" ht="15" x14ac:dyDescent="0.3">
      <c r="A25" s="10">
        <v>2.5000000000000001E-2</v>
      </c>
      <c r="B25" s="6">
        <v>2.30138</v>
      </c>
      <c r="C25" s="6">
        <v>2.3219699999999999</v>
      </c>
      <c r="D25" s="6">
        <v>2.3424200000000002</v>
      </c>
      <c r="E25" s="6">
        <v>2.36273</v>
      </c>
      <c r="F25" s="6">
        <v>2.3828800000000001</v>
      </c>
      <c r="G25" s="6">
        <v>2.4028700000000001</v>
      </c>
      <c r="H25" s="6">
        <v>2.4226800000000002</v>
      </c>
      <c r="I25" s="6">
        <v>2.44231</v>
      </c>
      <c r="J25" s="6">
        <v>2.4617499999999999</v>
      </c>
      <c r="K25" s="6">
        <v>2.4809899999999998</v>
      </c>
      <c r="L25" s="6">
        <v>2.5000100000000001</v>
      </c>
      <c r="M25" s="6">
        <v>2.5188100000000002</v>
      </c>
      <c r="N25" s="6">
        <v>2.5373700000000001</v>
      </c>
      <c r="O25" s="6">
        <v>2.5556899999999998</v>
      </c>
      <c r="P25" s="6">
        <v>2.57375</v>
      </c>
      <c r="Q25" s="6">
        <v>2.5915400000000002</v>
      </c>
      <c r="R25" s="6">
        <v>2.6090499999999999</v>
      </c>
      <c r="S25" s="6">
        <v>2.6262599999999998</v>
      </c>
      <c r="T25" s="6">
        <v>2.64317</v>
      </c>
      <c r="U25" s="6">
        <v>2.65977</v>
      </c>
      <c r="V25" s="6">
        <v>2.6760299999999999</v>
      </c>
      <c r="W25" s="6">
        <v>2.6919499999999998</v>
      </c>
      <c r="X25" s="6">
        <v>2.7075100000000001</v>
      </c>
      <c r="Y25" s="6">
        <v>2.7227000000000001</v>
      </c>
      <c r="Z25" s="6">
        <v>2.7375099999999999</v>
      </c>
      <c r="AA25" s="6">
        <v>2.7519100000000001</v>
      </c>
      <c r="AB25" s="6">
        <v>2.7659099999999999</v>
      </c>
      <c r="AC25" s="6">
        <v>2.7794699999999999</v>
      </c>
      <c r="AD25" s="6">
        <v>2.7925900000000001</v>
      </c>
      <c r="AE25" s="6">
        <v>2.80525</v>
      </c>
      <c r="AF25" s="6">
        <v>2.8174299999999999</v>
      </c>
      <c r="AG25" s="6">
        <v>2.8291200000000001</v>
      </c>
      <c r="AH25" s="6">
        <v>2.8403</v>
      </c>
      <c r="AI25" s="6">
        <v>2.8509600000000002</v>
      </c>
      <c r="AJ25" s="6">
        <v>2.8610699999999998</v>
      </c>
      <c r="AK25" s="6">
        <v>2.8706200000000002</v>
      </c>
      <c r="AL25" s="6">
        <v>2.8795899999999999</v>
      </c>
      <c r="AM25" s="6">
        <v>2.8879600000000001</v>
      </c>
      <c r="AN25" s="6">
        <v>2.8957199999999998</v>
      </c>
      <c r="AO25" s="6">
        <v>2.9028299999999998</v>
      </c>
      <c r="AP25" s="6">
        <v>2.9093</v>
      </c>
      <c r="AQ25" s="6">
        <v>2.9150800000000001</v>
      </c>
      <c r="AR25" s="6">
        <v>2.9201700000000002</v>
      </c>
      <c r="AS25" s="6">
        <v>2.92455</v>
      </c>
      <c r="AT25" s="6">
        <v>2.9281799999999998</v>
      </c>
      <c r="AU25" s="6">
        <v>2.9310499999999999</v>
      </c>
      <c r="AV25" s="6">
        <v>2.9331399999999999</v>
      </c>
      <c r="AW25" s="6">
        <v>2.9344299999999999</v>
      </c>
      <c r="AX25" s="6">
        <v>2.9348900000000002</v>
      </c>
      <c r="AY25" s="6">
        <v>2.9344999999999999</v>
      </c>
      <c r="AZ25" s="6">
        <v>2.9332400000000001</v>
      </c>
      <c r="BA25" s="6">
        <v>2.9310700000000001</v>
      </c>
      <c r="BB25" s="6">
        <v>2.9279899999999999</v>
      </c>
      <c r="BC25" s="6">
        <v>2.9239700000000002</v>
      </c>
      <c r="BD25" s="6">
        <v>2.9189799999999999</v>
      </c>
      <c r="BE25" s="6">
        <v>2.9129900000000002</v>
      </c>
      <c r="BF25" s="6">
        <v>2.9059900000000001</v>
      </c>
      <c r="BG25" s="6">
        <v>2.8979499999999998</v>
      </c>
      <c r="BH25" s="6">
        <v>2.8888400000000001</v>
      </c>
      <c r="BI25" s="6">
        <v>2.8786499999999999</v>
      </c>
      <c r="BJ25" s="6">
        <v>2.8673500000000001</v>
      </c>
      <c r="BK25" s="6">
        <v>2.8549199999999999</v>
      </c>
      <c r="BL25" s="6">
        <v>2.8413400000000002</v>
      </c>
      <c r="BM25" s="6">
        <v>2.8265799999999999</v>
      </c>
      <c r="BN25" s="6">
        <v>2.8106200000000001</v>
      </c>
      <c r="BO25" s="6">
        <v>2.79345</v>
      </c>
      <c r="BP25" s="6">
        <v>2.7750599999999999</v>
      </c>
      <c r="BQ25" s="6">
        <v>2.7554099999999999</v>
      </c>
      <c r="BR25" s="6">
        <v>2.7345100000000002</v>
      </c>
      <c r="BS25" s="6">
        <v>2.7123400000000002</v>
      </c>
      <c r="BT25" s="6">
        <v>2.6888800000000002</v>
      </c>
      <c r="BU25" s="6">
        <v>2.6641300000000001</v>
      </c>
      <c r="BV25" s="6">
        <v>2.6381000000000001</v>
      </c>
      <c r="BW25" s="6">
        <v>2.61076</v>
      </c>
      <c r="BX25" s="6">
        <v>2.5821399999999999</v>
      </c>
      <c r="BY25" s="6">
        <v>2.5522200000000002</v>
      </c>
      <c r="BZ25" s="6">
        <v>2.52102</v>
      </c>
      <c r="CA25" s="6">
        <v>2.48855</v>
      </c>
      <c r="CB25" s="6">
        <v>2.4548199999999998</v>
      </c>
      <c r="CC25" s="6">
        <v>2.4198400000000002</v>
      </c>
      <c r="CD25" s="6">
        <v>2.3836400000000002</v>
      </c>
      <c r="CE25" s="6">
        <v>2.3462299999999998</v>
      </c>
      <c r="CF25" s="6">
        <v>2.3076400000000001</v>
      </c>
      <c r="CG25" s="6">
        <v>2.2679</v>
      </c>
      <c r="CH25" s="6">
        <v>2.22702</v>
      </c>
      <c r="CI25" s="6">
        <v>2.1850499999999999</v>
      </c>
      <c r="CJ25" s="6">
        <v>2.14202</v>
      </c>
      <c r="CK25" s="6">
        <v>2.09795</v>
      </c>
      <c r="CL25" s="6">
        <v>2.0529000000000002</v>
      </c>
      <c r="CM25" s="6">
        <v>2.0068800000000002</v>
      </c>
      <c r="CN25" s="6">
        <v>1.9599599999999999</v>
      </c>
      <c r="CO25" s="6">
        <v>1.9599599999999999</v>
      </c>
      <c r="CP25" s="6">
        <v>1.9121900000000001</v>
      </c>
      <c r="CQ25" s="30">
        <v>1.8635999999999999</v>
      </c>
      <c r="CR25" s="30">
        <v>1.81427</v>
      </c>
      <c r="CS25" s="6">
        <v>1.76427</v>
      </c>
      <c r="CT25" s="6">
        <v>1.71366</v>
      </c>
      <c r="CU25" s="6">
        <v>1.6625300000000001</v>
      </c>
      <c r="CV25" s="6">
        <v>1.6109899999999999</v>
      </c>
      <c r="CW25" s="6">
        <v>1.55914</v>
      </c>
      <c r="CX25" s="6">
        <v>1.50712</v>
      </c>
      <c r="CY25" s="6">
        <v>1.4550700000000001</v>
      </c>
      <c r="CZ25" s="6">
        <v>1.4031400000000001</v>
      </c>
      <c r="DA25" s="6">
        <v>1.3515299999999999</v>
      </c>
      <c r="DB25" s="6">
        <v>1.3004199999999999</v>
      </c>
      <c r="DC25" s="6">
        <v>1.25004</v>
      </c>
      <c r="DD25" s="6">
        <v>1.20059</v>
      </c>
      <c r="DE25" s="6">
        <v>1.15229</v>
      </c>
      <c r="DF25" s="6">
        <v>1.10537</v>
      </c>
      <c r="DG25" s="6">
        <v>1.0600099999999999</v>
      </c>
      <c r="DH25" s="6">
        <v>1.0164</v>
      </c>
      <c r="DI25" s="6">
        <v>0.97467999999999999</v>
      </c>
      <c r="DJ25" s="6">
        <v>0.93494999999999995</v>
      </c>
      <c r="DK25" s="6">
        <v>0.89727999999999997</v>
      </c>
      <c r="DL25" s="6">
        <v>0.86168999999999996</v>
      </c>
      <c r="DM25" s="6">
        <v>0.82816999999999996</v>
      </c>
      <c r="DN25" s="6">
        <v>0.79666999999999999</v>
      </c>
      <c r="DO25" s="6">
        <v>0.76712000000000002</v>
      </c>
      <c r="DP25" s="6">
        <v>0.73943000000000003</v>
      </c>
      <c r="DQ25" s="6">
        <v>0.71348</v>
      </c>
      <c r="DR25" s="6">
        <v>0.68916999999999995</v>
      </c>
      <c r="DS25" s="6">
        <v>0.66637999999999997</v>
      </c>
      <c r="DT25" s="6">
        <v>0.64500000000000002</v>
      </c>
      <c r="DU25" s="6">
        <v>0.62490999999999997</v>
      </c>
      <c r="DV25" s="6">
        <v>0.60601000000000005</v>
      </c>
      <c r="DW25" s="6">
        <v>0.58821000000000001</v>
      </c>
      <c r="DX25" s="6">
        <v>0.57140999999999997</v>
      </c>
      <c r="DY25" s="6">
        <v>0.55554999999999999</v>
      </c>
      <c r="DZ25" s="6">
        <v>0.54054000000000002</v>
      </c>
      <c r="EA25" s="6">
        <v>0.52630999999999994</v>
      </c>
      <c r="EB25" s="6">
        <v>0.51282000000000005</v>
      </c>
      <c r="EC25" s="6">
        <v>0.5</v>
      </c>
      <c r="ED25" s="6">
        <v>0.48780000000000001</v>
      </c>
      <c r="EE25" s="6">
        <v>0.47619</v>
      </c>
      <c r="EF25" s="6">
        <v>0.46511999999999998</v>
      </c>
      <c r="EG25" s="6">
        <v>0.45455000000000001</v>
      </c>
      <c r="EH25" s="6">
        <v>0.44444</v>
      </c>
      <c r="EI25" s="6">
        <v>0.43478</v>
      </c>
      <c r="EJ25" s="6">
        <v>0.42553000000000002</v>
      </c>
      <c r="EK25" s="6">
        <v>0.41666999999999998</v>
      </c>
      <c r="EL25" s="6">
        <v>0.40816000000000002</v>
      </c>
      <c r="EM25" s="6">
        <v>0.4</v>
      </c>
      <c r="EN25" s="6">
        <v>0.39216000000000001</v>
      </c>
      <c r="EO25" s="6">
        <v>0.38462000000000002</v>
      </c>
      <c r="EP25" s="6">
        <v>0.37735999999999997</v>
      </c>
      <c r="EQ25" s="6">
        <v>0.37036999999999998</v>
      </c>
      <c r="ER25" s="6">
        <v>0.36364000000000002</v>
      </c>
      <c r="ES25" s="6">
        <v>0.35714000000000001</v>
      </c>
      <c r="ET25" s="6">
        <v>0.35088000000000003</v>
      </c>
      <c r="EU25" s="6">
        <v>0.34483000000000003</v>
      </c>
      <c r="EV25" s="6">
        <v>0.33898</v>
      </c>
      <c r="EW25" s="6">
        <v>0.33333000000000002</v>
      </c>
      <c r="EX25" s="6">
        <v>0.32786999999999999</v>
      </c>
      <c r="EY25" s="6">
        <v>0.32257999999999998</v>
      </c>
      <c r="EZ25" s="6">
        <v>0.31746000000000002</v>
      </c>
      <c r="FA25" s="6">
        <v>0.3125</v>
      </c>
      <c r="FB25" s="6">
        <v>0.30769000000000002</v>
      </c>
      <c r="FC25" s="6">
        <v>0.30303000000000002</v>
      </c>
      <c r="FD25" s="6">
        <v>0.29851</v>
      </c>
      <c r="FE25" s="6">
        <v>0.29411999999999999</v>
      </c>
      <c r="FF25" s="6">
        <v>0.28986000000000001</v>
      </c>
      <c r="FG25" s="6">
        <v>0.28571000000000002</v>
      </c>
      <c r="FH25" s="6">
        <v>0.28169</v>
      </c>
      <c r="FI25" s="6">
        <v>0.27778000000000003</v>
      </c>
      <c r="FJ25" s="6">
        <v>0.27396999999999999</v>
      </c>
      <c r="FK25" s="6">
        <v>0.27027000000000001</v>
      </c>
      <c r="FL25" s="6">
        <v>0.26667000000000002</v>
      </c>
      <c r="FM25" s="6">
        <v>0.26316000000000001</v>
      </c>
      <c r="FN25" s="6">
        <v>0.25974000000000003</v>
      </c>
      <c r="FO25" s="6">
        <v>0.25641000000000003</v>
      </c>
      <c r="FP25" s="6">
        <v>0.25316</v>
      </c>
      <c r="FQ25" s="6">
        <v>0.25</v>
      </c>
      <c r="FR25" s="6">
        <v>0.24690999999999999</v>
      </c>
      <c r="FS25" s="6">
        <v>0.24390000000000001</v>
      </c>
      <c r="FT25" s="6">
        <v>0.24096000000000001</v>
      </c>
      <c r="FU25" s="6">
        <v>0.23810000000000001</v>
      </c>
      <c r="FV25" s="6">
        <v>0.23529</v>
      </c>
      <c r="FW25" s="6">
        <v>0.23255999999999999</v>
      </c>
      <c r="FX25" s="6">
        <v>0.22989000000000001</v>
      </c>
      <c r="FY25" s="6">
        <v>0.22727</v>
      </c>
      <c r="FZ25" s="6">
        <v>0.22472</v>
      </c>
      <c r="GA25" s="6">
        <v>0.22222</v>
      </c>
    </row>
    <row r="26" spans="1:183" ht="15" x14ac:dyDescent="0.3">
      <c r="A26" s="10">
        <v>0.02</v>
      </c>
      <c r="B26" s="6">
        <v>2.8203499999999999</v>
      </c>
      <c r="C26" s="6">
        <v>2.8391899999999999</v>
      </c>
      <c r="D26" s="6">
        <v>2.8578199999999998</v>
      </c>
      <c r="E26" s="6">
        <v>2.87622</v>
      </c>
      <c r="F26" s="6">
        <v>2.8944000000000001</v>
      </c>
      <c r="G26" s="6">
        <v>2.9123399999999999</v>
      </c>
      <c r="H26" s="6">
        <v>2.9300199999999998</v>
      </c>
      <c r="I26" s="6">
        <v>2.94746</v>
      </c>
      <c r="J26" s="6">
        <v>2.96462</v>
      </c>
      <c r="K26" s="6">
        <v>2.9815</v>
      </c>
      <c r="L26" s="6">
        <v>2.9981</v>
      </c>
      <c r="M26" s="6">
        <v>3.0143900000000001</v>
      </c>
      <c r="N26" s="6">
        <v>3.0303800000000001</v>
      </c>
      <c r="O26" s="6">
        <v>3.0460400000000001</v>
      </c>
      <c r="P26" s="6">
        <v>3.0613700000000001</v>
      </c>
      <c r="Q26" s="6">
        <v>3.0763600000000002</v>
      </c>
      <c r="R26" s="6">
        <v>3.0909900000000001</v>
      </c>
      <c r="S26" s="6">
        <v>3.1052499999999998</v>
      </c>
      <c r="T26" s="6">
        <v>3.1191399999999998</v>
      </c>
      <c r="U26" s="6">
        <v>3.1326299999999998</v>
      </c>
      <c r="V26" s="6">
        <v>3.1457199999999998</v>
      </c>
      <c r="W26" s="6">
        <v>3.1583800000000002</v>
      </c>
      <c r="X26" s="6">
        <v>3.17062</v>
      </c>
      <c r="Y26" s="6">
        <v>3.18241</v>
      </c>
      <c r="Z26" s="6">
        <v>3.19374</v>
      </c>
      <c r="AA26" s="6">
        <v>3.2046000000000001</v>
      </c>
      <c r="AB26" s="6">
        <v>3.2149700000000001</v>
      </c>
      <c r="AC26" s="6">
        <v>3.2248399999999999</v>
      </c>
      <c r="AD26" s="6">
        <v>3.2341899999999999</v>
      </c>
      <c r="AE26" s="6">
        <v>3.2430099999999999</v>
      </c>
      <c r="AF26" s="6">
        <v>3.2512799999999999</v>
      </c>
      <c r="AG26" s="6">
        <v>3.2589800000000002</v>
      </c>
      <c r="AH26" s="6">
        <v>3.2660999999999998</v>
      </c>
      <c r="AI26" s="6">
        <v>3.2726299999999999</v>
      </c>
      <c r="AJ26" s="6">
        <v>3.27854</v>
      </c>
      <c r="AK26" s="6">
        <v>3.2838099999999999</v>
      </c>
      <c r="AL26" s="6">
        <v>3.28844</v>
      </c>
      <c r="AM26" s="6">
        <v>3.2924000000000002</v>
      </c>
      <c r="AN26" s="6">
        <v>3.2956699999999999</v>
      </c>
      <c r="AO26" s="6">
        <v>3.2982300000000002</v>
      </c>
      <c r="AP26" s="6">
        <v>3.3000699999999998</v>
      </c>
      <c r="AQ26" s="6">
        <v>3.3011599999999999</v>
      </c>
      <c r="AR26" s="6">
        <v>3.3014899999999998</v>
      </c>
      <c r="AS26" s="6">
        <v>3.3010299999999999</v>
      </c>
      <c r="AT26" s="6">
        <v>3.29976</v>
      </c>
      <c r="AU26" s="6">
        <v>3.2976700000000001</v>
      </c>
      <c r="AV26" s="6">
        <v>3.2947299999999999</v>
      </c>
      <c r="AW26" s="6">
        <v>3.2909199999999998</v>
      </c>
      <c r="AX26" s="6">
        <v>3.2862200000000001</v>
      </c>
      <c r="AY26" s="6">
        <v>3.2806000000000002</v>
      </c>
      <c r="AZ26" s="6">
        <v>3.2740399999999998</v>
      </c>
      <c r="BA26" s="6">
        <v>3.2665299999999999</v>
      </c>
      <c r="BB26" s="6">
        <v>3.2580300000000002</v>
      </c>
      <c r="BC26" s="6">
        <v>3.2485300000000001</v>
      </c>
      <c r="BD26" s="6">
        <v>3.238</v>
      </c>
      <c r="BE26" s="6">
        <v>3.22641</v>
      </c>
      <c r="BF26" s="6">
        <v>3.2137500000000001</v>
      </c>
      <c r="BG26" s="6">
        <v>3.2</v>
      </c>
      <c r="BH26" s="6">
        <v>3.18512</v>
      </c>
      <c r="BI26" s="6">
        <v>3.1691099999999999</v>
      </c>
      <c r="BJ26" s="6">
        <v>3.1519300000000001</v>
      </c>
      <c r="BK26" s="6">
        <v>3.1335600000000001</v>
      </c>
      <c r="BL26" s="6">
        <v>3.1139899999999998</v>
      </c>
      <c r="BM26" s="6">
        <v>3.0931999999999999</v>
      </c>
      <c r="BN26" s="6">
        <v>3.0711599999999999</v>
      </c>
      <c r="BO26" s="6">
        <v>3.0478700000000001</v>
      </c>
      <c r="BP26" s="6">
        <v>3.0232999999999999</v>
      </c>
      <c r="BQ26" s="6">
        <v>2.9974400000000001</v>
      </c>
      <c r="BR26" s="6">
        <v>2.9702799999999998</v>
      </c>
      <c r="BS26" s="6">
        <v>2.9418099999999998</v>
      </c>
      <c r="BT26" s="6">
        <v>2.9120200000000001</v>
      </c>
      <c r="BU26" s="6">
        <v>2.8809100000000001</v>
      </c>
      <c r="BV26" s="6">
        <v>2.8484799999999999</v>
      </c>
      <c r="BW26" s="6">
        <v>2.8147199999999999</v>
      </c>
      <c r="BX26" s="6">
        <v>2.7796400000000001</v>
      </c>
      <c r="BY26" s="6">
        <v>2.7432500000000002</v>
      </c>
      <c r="BZ26" s="6">
        <v>2.7055600000000002</v>
      </c>
      <c r="CA26" s="6">
        <v>2.6665700000000001</v>
      </c>
      <c r="CB26" s="6">
        <v>2.6263100000000001</v>
      </c>
      <c r="CC26" s="6">
        <v>2.5848</v>
      </c>
      <c r="CD26" s="6">
        <v>2.5420600000000002</v>
      </c>
      <c r="CE26" s="6">
        <v>2.4981100000000001</v>
      </c>
      <c r="CF26" s="6">
        <v>2.4529800000000002</v>
      </c>
      <c r="CG26" s="6">
        <v>2.4066999999999998</v>
      </c>
      <c r="CH26" s="6">
        <v>2.3593099999999998</v>
      </c>
      <c r="CI26" s="6">
        <v>2.3108399999999998</v>
      </c>
      <c r="CJ26" s="6">
        <v>2.2613300000000001</v>
      </c>
      <c r="CK26" s="6">
        <v>2.2108099999999999</v>
      </c>
      <c r="CL26" s="6">
        <v>2.1593499999999999</v>
      </c>
      <c r="CM26" s="6">
        <v>2.10697</v>
      </c>
      <c r="CN26" s="6">
        <v>2.05375</v>
      </c>
      <c r="CO26" s="6">
        <v>2.05375</v>
      </c>
      <c r="CP26" s="6">
        <v>1.99973</v>
      </c>
      <c r="CQ26" s="6">
        <v>1.94499</v>
      </c>
      <c r="CR26" s="6">
        <v>1.8895900000000001</v>
      </c>
      <c r="CS26" s="6">
        <v>1.83361</v>
      </c>
      <c r="CT26" s="6">
        <v>1.7771600000000001</v>
      </c>
      <c r="CU26" s="6">
        <v>1.7203299999999999</v>
      </c>
      <c r="CV26" s="6">
        <v>1.6632499999999999</v>
      </c>
      <c r="CW26" s="6">
        <v>1.6060399999999999</v>
      </c>
      <c r="CX26" s="6">
        <v>1.5488599999999999</v>
      </c>
      <c r="CY26" s="6">
        <v>1.4918800000000001</v>
      </c>
      <c r="CZ26" s="6">
        <v>1.43529</v>
      </c>
      <c r="DA26" s="6">
        <v>1.3792899999999999</v>
      </c>
      <c r="DB26" s="6">
        <v>1.32412</v>
      </c>
      <c r="DC26" s="6">
        <v>1.26999</v>
      </c>
      <c r="DD26" s="6">
        <v>1.21716</v>
      </c>
      <c r="DE26" s="6">
        <v>1.16584</v>
      </c>
      <c r="DF26" s="6">
        <v>1.1162799999999999</v>
      </c>
      <c r="DG26" s="6">
        <v>1.06864</v>
      </c>
      <c r="DH26" s="6">
        <v>1.02311</v>
      </c>
      <c r="DI26" s="6">
        <v>0.9798</v>
      </c>
      <c r="DJ26" s="6">
        <v>0.93877999999999995</v>
      </c>
      <c r="DK26" s="6">
        <v>0.90008999999999995</v>
      </c>
      <c r="DL26" s="6">
        <v>0.86370999999999998</v>
      </c>
      <c r="DM26" s="6">
        <v>0.82959000000000005</v>
      </c>
      <c r="DN26" s="6">
        <v>0.79764999999999997</v>
      </c>
      <c r="DO26" s="6">
        <v>0.76778999999999997</v>
      </c>
      <c r="DP26" s="6">
        <v>0.73987000000000003</v>
      </c>
      <c r="DQ26" s="6">
        <v>0.71377000000000002</v>
      </c>
      <c r="DR26" s="6">
        <v>0.68935000000000002</v>
      </c>
      <c r="DS26" s="6">
        <v>0.66649000000000003</v>
      </c>
      <c r="DT26" s="6">
        <v>0.64507000000000003</v>
      </c>
      <c r="DU26" s="6">
        <v>0.62495000000000001</v>
      </c>
      <c r="DV26" s="6">
        <v>0.60602999999999996</v>
      </c>
      <c r="DW26" s="6">
        <v>0.58821999999999997</v>
      </c>
      <c r="DX26" s="6">
        <v>0.57142000000000004</v>
      </c>
      <c r="DY26" s="6">
        <v>0.55554999999999999</v>
      </c>
      <c r="DZ26" s="6">
        <v>0.54054000000000002</v>
      </c>
      <c r="EA26" s="6">
        <v>0.52630999999999994</v>
      </c>
      <c r="EB26" s="6">
        <v>0.51282000000000005</v>
      </c>
      <c r="EC26" s="6">
        <v>0.5</v>
      </c>
      <c r="ED26" s="6">
        <v>0.48780000000000001</v>
      </c>
      <c r="EE26" s="6">
        <v>0.47619</v>
      </c>
      <c r="EF26" s="6">
        <v>0.46511999999999998</v>
      </c>
      <c r="EG26" s="6">
        <v>0.45455000000000001</v>
      </c>
      <c r="EH26" s="6">
        <v>0.44444</v>
      </c>
      <c r="EI26" s="6">
        <v>0.43478</v>
      </c>
      <c r="EJ26" s="6">
        <v>0.42553000000000002</v>
      </c>
      <c r="EK26" s="6">
        <v>0.41666999999999998</v>
      </c>
      <c r="EL26" s="6">
        <v>0.40816000000000002</v>
      </c>
      <c r="EM26" s="6">
        <v>0.4</v>
      </c>
      <c r="EN26" s="6">
        <v>0.39216000000000001</v>
      </c>
      <c r="EO26" s="6">
        <v>0.38462000000000002</v>
      </c>
      <c r="EP26" s="6">
        <v>0.37735999999999997</v>
      </c>
      <c r="EQ26" s="6">
        <v>0.37036999999999998</v>
      </c>
      <c r="ER26" s="6">
        <v>0.36364000000000002</v>
      </c>
      <c r="ES26" s="6">
        <v>0.35714000000000001</v>
      </c>
      <c r="ET26" s="6">
        <v>0.35088000000000003</v>
      </c>
      <c r="EU26" s="6">
        <v>0.34483000000000003</v>
      </c>
      <c r="EV26" s="6">
        <v>0.33898</v>
      </c>
      <c r="EW26" s="6">
        <v>0.33333000000000002</v>
      </c>
      <c r="EX26" s="6">
        <v>0.32786999999999999</v>
      </c>
      <c r="EY26" s="6">
        <v>0.32257999999999998</v>
      </c>
      <c r="EZ26" s="6">
        <v>0.31746000000000002</v>
      </c>
      <c r="FA26" s="6">
        <v>0.3125</v>
      </c>
      <c r="FB26" s="6">
        <v>0.30769000000000002</v>
      </c>
      <c r="FC26" s="6">
        <v>0.30303000000000002</v>
      </c>
      <c r="FD26" s="6">
        <v>0.29851</v>
      </c>
      <c r="FE26" s="6">
        <v>0.29411999999999999</v>
      </c>
      <c r="FF26" s="6">
        <v>0.28986000000000001</v>
      </c>
      <c r="FG26" s="6">
        <v>0.28571000000000002</v>
      </c>
      <c r="FH26" s="6">
        <v>0.28169</v>
      </c>
      <c r="FI26" s="6">
        <v>0.27778000000000003</v>
      </c>
      <c r="FJ26" s="6">
        <v>0.27396999999999999</v>
      </c>
      <c r="FK26" s="6">
        <v>0.27027000000000001</v>
      </c>
      <c r="FL26" s="6">
        <v>0.26667000000000002</v>
      </c>
      <c r="FM26" s="6">
        <v>0.26316000000000001</v>
      </c>
      <c r="FN26" s="6">
        <v>0.25974000000000003</v>
      </c>
      <c r="FO26" s="6">
        <v>0.25641000000000003</v>
      </c>
      <c r="FP26" s="6">
        <v>0.25316</v>
      </c>
      <c r="FQ26" s="6">
        <v>0.25</v>
      </c>
      <c r="FR26" s="6">
        <v>0.24690999999999999</v>
      </c>
      <c r="FS26" s="6">
        <v>0.24390000000000001</v>
      </c>
      <c r="FT26" s="6">
        <v>0.24096000000000001</v>
      </c>
      <c r="FU26" s="6">
        <v>0.23810000000000001</v>
      </c>
      <c r="FV26" s="6">
        <v>0.23529</v>
      </c>
      <c r="FW26" s="6">
        <v>0.23255999999999999</v>
      </c>
      <c r="FX26" s="6">
        <v>0.22989000000000001</v>
      </c>
      <c r="FY26" s="6">
        <v>0.22727</v>
      </c>
      <c r="FZ26" s="6">
        <v>0.22472</v>
      </c>
      <c r="GA26" s="6">
        <v>0.22222</v>
      </c>
    </row>
    <row r="27" spans="1:183" ht="15" x14ac:dyDescent="0.3">
      <c r="A27" s="10">
        <v>0.01</v>
      </c>
      <c r="B27" s="6">
        <v>4.6354100000000003</v>
      </c>
      <c r="C27" s="6">
        <v>4.6442899999999998</v>
      </c>
      <c r="D27" s="6">
        <v>4.6527700000000003</v>
      </c>
      <c r="E27" s="6">
        <v>4.6608499999999999</v>
      </c>
      <c r="F27" s="6">
        <v>4.6684999999999999</v>
      </c>
      <c r="G27" s="6">
        <v>4.6757299999999997</v>
      </c>
      <c r="H27" s="6">
        <v>4.6825200000000002</v>
      </c>
      <c r="I27" s="6">
        <v>4.6888699999999996</v>
      </c>
      <c r="J27" s="6">
        <v>4.6947599999999996</v>
      </c>
      <c r="K27" s="6">
        <v>4.7001900000000001</v>
      </c>
      <c r="L27" s="6">
        <v>4.7051400000000001</v>
      </c>
      <c r="M27" s="6">
        <v>4.7096099999999996</v>
      </c>
      <c r="N27" s="6">
        <v>4.7135800000000003</v>
      </c>
      <c r="O27" s="6">
        <v>4.7170399999999999</v>
      </c>
      <c r="P27" s="6">
        <v>4.7199799999999996</v>
      </c>
      <c r="Q27" s="6">
        <v>4.7224000000000004</v>
      </c>
      <c r="R27" s="6">
        <v>4.7242699999999997</v>
      </c>
      <c r="S27" s="6">
        <v>4.7255900000000004</v>
      </c>
      <c r="T27" s="6">
        <v>4.7263500000000001</v>
      </c>
      <c r="U27" s="6">
        <v>4.7265300000000003</v>
      </c>
      <c r="V27" s="6">
        <v>4.7261300000000004</v>
      </c>
      <c r="W27" s="6">
        <v>4.7251200000000004</v>
      </c>
      <c r="X27" s="6">
        <v>4.7234999999999996</v>
      </c>
      <c r="Y27" s="6">
        <v>4.7212500000000004</v>
      </c>
      <c r="Z27" s="6">
        <v>4.7183599999999997</v>
      </c>
      <c r="AA27" s="6">
        <v>4.7148199999999996</v>
      </c>
      <c r="AB27" s="6">
        <v>4.71061</v>
      </c>
      <c r="AC27" s="6">
        <v>4.7057099999999998</v>
      </c>
      <c r="AD27" s="6">
        <v>4.7001299999999997</v>
      </c>
      <c r="AE27" s="6">
        <v>4.6938199999999997</v>
      </c>
      <c r="AF27" s="6">
        <v>4.6867999999999999</v>
      </c>
      <c r="AG27" s="6">
        <v>4.67903</v>
      </c>
      <c r="AH27" s="6">
        <v>4.6704999999999997</v>
      </c>
      <c r="AI27" s="6">
        <v>4.6612</v>
      </c>
      <c r="AJ27" s="6">
        <v>4.6511100000000001</v>
      </c>
      <c r="AK27" s="6">
        <v>4.6402200000000002</v>
      </c>
      <c r="AL27" s="6">
        <v>4.6284999999999998</v>
      </c>
      <c r="AM27" s="6">
        <v>4.6159400000000002</v>
      </c>
      <c r="AN27" s="6">
        <v>4.6025200000000002</v>
      </c>
      <c r="AO27" s="6">
        <v>4.5882300000000003</v>
      </c>
      <c r="AP27" s="6">
        <v>4.5730399999999998</v>
      </c>
      <c r="AQ27" s="6">
        <v>4.55694</v>
      </c>
      <c r="AR27" s="6">
        <v>4.5399000000000003</v>
      </c>
      <c r="AS27" s="6">
        <v>4.5219199999999997</v>
      </c>
      <c r="AT27" s="6">
        <v>4.5029700000000004</v>
      </c>
      <c r="AU27" s="6">
        <v>4.4830300000000003</v>
      </c>
      <c r="AV27" s="6">
        <v>4.4620699999999998</v>
      </c>
      <c r="AW27" s="6">
        <v>4.4400899999999996</v>
      </c>
      <c r="AX27" s="6">
        <v>4.4170600000000002</v>
      </c>
      <c r="AY27" s="6">
        <v>4.3929600000000004</v>
      </c>
      <c r="AZ27" s="6">
        <v>4.3677700000000002</v>
      </c>
      <c r="BA27" s="6">
        <v>4.3414700000000002</v>
      </c>
      <c r="BB27" s="6">
        <v>4.3140299999999998</v>
      </c>
      <c r="BC27" s="6">
        <v>4.28545</v>
      </c>
      <c r="BD27" s="6">
        <v>4.2556900000000004</v>
      </c>
      <c r="BE27" s="6">
        <v>4.2247300000000001</v>
      </c>
      <c r="BF27" s="6">
        <v>4.1925699999999999</v>
      </c>
      <c r="BG27" s="6">
        <v>4.1591699999999996</v>
      </c>
      <c r="BH27" s="6">
        <v>4.1245200000000004</v>
      </c>
      <c r="BI27" s="6">
        <v>4.0885899999999999</v>
      </c>
      <c r="BJ27" s="6">
        <v>4.05138</v>
      </c>
      <c r="BK27" s="6">
        <v>4.0128599999999999</v>
      </c>
      <c r="BL27" s="6">
        <v>3.9730099999999999</v>
      </c>
      <c r="BM27" s="6">
        <v>3.9318300000000002</v>
      </c>
      <c r="BN27" s="6">
        <v>3.8893</v>
      </c>
      <c r="BO27" s="6">
        <v>3.8454000000000002</v>
      </c>
      <c r="BP27" s="6">
        <v>3.8001299999999998</v>
      </c>
      <c r="BQ27" s="6">
        <v>3.7534700000000001</v>
      </c>
      <c r="BR27" s="6">
        <v>3.7054299999999998</v>
      </c>
      <c r="BS27" s="6">
        <v>3.6560000000000001</v>
      </c>
      <c r="BT27" s="6">
        <v>3.6051700000000002</v>
      </c>
      <c r="BU27" s="6">
        <v>3.5529500000000001</v>
      </c>
      <c r="BV27" s="6">
        <v>3.4993500000000002</v>
      </c>
      <c r="BW27" s="6">
        <v>3.4443800000000002</v>
      </c>
      <c r="BX27" s="6">
        <v>3.3880400000000002</v>
      </c>
      <c r="BY27" s="6">
        <v>3.3303500000000001</v>
      </c>
      <c r="BZ27" s="6">
        <v>3.2713399999999999</v>
      </c>
      <c r="CA27" s="6">
        <v>3.2110300000000001</v>
      </c>
      <c r="CB27" s="6">
        <v>3.1494399999999998</v>
      </c>
      <c r="CC27" s="6">
        <v>3.0865999999999998</v>
      </c>
      <c r="CD27" s="6">
        <v>3.0225599999999999</v>
      </c>
      <c r="CE27" s="6">
        <v>2.9573499999999999</v>
      </c>
      <c r="CF27" s="6">
        <v>2.8910100000000001</v>
      </c>
      <c r="CG27" s="6">
        <v>2.8235899999999998</v>
      </c>
      <c r="CH27" s="6">
        <v>2.7551399999999999</v>
      </c>
      <c r="CI27" s="6">
        <v>2.6857199999999999</v>
      </c>
      <c r="CJ27" s="6">
        <v>2.6153900000000001</v>
      </c>
      <c r="CK27" s="6">
        <v>2.5442100000000001</v>
      </c>
      <c r="CL27" s="6">
        <v>2.4722599999999999</v>
      </c>
      <c r="CM27" s="6">
        <v>2.39961</v>
      </c>
      <c r="CN27" s="6">
        <v>2.3263500000000001</v>
      </c>
      <c r="CO27" s="6">
        <v>2.3263500000000001</v>
      </c>
      <c r="CP27" s="6">
        <v>2.25258</v>
      </c>
      <c r="CQ27" s="6">
        <v>2.1783999999999999</v>
      </c>
      <c r="CR27" s="6">
        <v>2.1039400000000001</v>
      </c>
      <c r="CS27" s="6">
        <v>2.0293299999999999</v>
      </c>
      <c r="CT27" s="6">
        <v>1.95472</v>
      </c>
      <c r="CU27" s="6">
        <v>1.88029</v>
      </c>
      <c r="CV27" s="6">
        <v>1.8062100000000001</v>
      </c>
      <c r="CW27" s="6">
        <v>1.73271</v>
      </c>
      <c r="CX27" s="6">
        <v>1.66001</v>
      </c>
      <c r="CY27" s="6">
        <v>1.5883799999999999</v>
      </c>
      <c r="CZ27" s="6">
        <v>1.5180800000000001</v>
      </c>
      <c r="DA27" s="6">
        <v>1.4494199999999999</v>
      </c>
      <c r="DB27" s="6">
        <v>1.3826700000000001</v>
      </c>
      <c r="DC27" s="6">
        <v>1.3181499999999999</v>
      </c>
      <c r="DD27" s="6">
        <v>1.2561100000000001</v>
      </c>
      <c r="DE27" s="6">
        <v>1.1968000000000001</v>
      </c>
      <c r="DF27" s="6">
        <v>1.14042</v>
      </c>
      <c r="DG27" s="6">
        <v>1.08711</v>
      </c>
      <c r="DH27" s="6">
        <v>1.03695</v>
      </c>
      <c r="DI27" s="6">
        <v>0.98995</v>
      </c>
      <c r="DJ27" s="6">
        <v>0.94606999999999997</v>
      </c>
      <c r="DK27" s="6">
        <v>0.90520999999999996</v>
      </c>
      <c r="DL27" s="6">
        <v>0.86722999999999995</v>
      </c>
      <c r="DM27" s="6">
        <v>0.83196000000000003</v>
      </c>
      <c r="DN27" s="6">
        <v>0.79920999999999998</v>
      </c>
      <c r="DO27" s="6">
        <v>0.76878000000000002</v>
      </c>
      <c r="DP27" s="6">
        <v>0.74048999999999998</v>
      </c>
      <c r="DQ27" s="6">
        <v>0.71414999999999995</v>
      </c>
      <c r="DR27" s="6">
        <v>0.68959000000000004</v>
      </c>
      <c r="DS27" s="6">
        <v>0.66662999999999994</v>
      </c>
      <c r="DT27" s="6">
        <v>0.64514000000000005</v>
      </c>
      <c r="DU27" s="6">
        <v>0.62499000000000005</v>
      </c>
      <c r="DV27" s="6">
        <v>0.60606000000000004</v>
      </c>
      <c r="DW27" s="6">
        <v>0.58823000000000003</v>
      </c>
      <c r="DX27" s="6">
        <v>0.57142999999999999</v>
      </c>
      <c r="DY27" s="6">
        <v>0.55556000000000005</v>
      </c>
      <c r="DZ27" s="6">
        <v>0.54054000000000002</v>
      </c>
      <c r="EA27" s="6">
        <v>0.52632000000000001</v>
      </c>
      <c r="EB27" s="6">
        <v>0.51282000000000005</v>
      </c>
      <c r="EC27" s="6">
        <v>0.5</v>
      </c>
      <c r="ED27" s="6">
        <v>0.48780000000000001</v>
      </c>
      <c r="EE27" s="6">
        <v>0.47619</v>
      </c>
      <c r="EF27" s="6">
        <v>0.46511999999999998</v>
      </c>
      <c r="EG27" s="6">
        <v>0.45455000000000001</v>
      </c>
      <c r="EH27" s="6">
        <v>0.44444</v>
      </c>
      <c r="EI27" s="6">
        <v>0.43478</v>
      </c>
      <c r="EJ27" s="6">
        <v>0.42553000000000002</v>
      </c>
      <c r="EK27" s="6">
        <v>0.41666999999999998</v>
      </c>
      <c r="EL27" s="6">
        <v>0.40816000000000002</v>
      </c>
      <c r="EM27" s="6">
        <v>0.4</v>
      </c>
      <c r="EN27" s="6">
        <v>0.39216000000000001</v>
      </c>
      <c r="EO27" s="6">
        <v>0.38462000000000002</v>
      </c>
      <c r="EP27" s="6">
        <v>0.37735999999999997</v>
      </c>
      <c r="EQ27" s="6">
        <v>0.37036999999999998</v>
      </c>
      <c r="ER27" s="6">
        <v>0.36364000000000002</v>
      </c>
      <c r="ES27" s="6">
        <v>0.35714000000000001</v>
      </c>
      <c r="ET27" s="6">
        <v>0.35088000000000003</v>
      </c>
      <c r="EU27" s="6">
        <v>0.34483000000000003</v>
      </c>
      <c r="EV27" s="6">
        <v>0.33898</v>
      </c>
      <c r="EW27" s="6">
        <v>0.33333000000000002</v>
      </c>
      <c r="EX27" s="6">
        <v>0.32786999999999999</v>
      </c>
      <c r="EY27" s="6">
        <v>0.32257999999999998</v>
      </c>
      <c r="EZ27" s="6">
        <v>0.31746000000000002</v>
      </c>
      <c r="FA27" s="6">
        <v>0.3125</v>
      </c>
      <c r="FB27" s="6">
        <v>0.30769000000000002</v>
      </c>
      <c r="FC27" s="6">
        <v>0.30303000000000002</v>
      </c>
      <c r="FD27" s="6">
        <v>0.29851</v>
      </c>
      <c r="FE27" s="6">
        <v>0.29411999999999999</v>
      </c>
      <c r="FF27" s="6">
        <v>0.28986000000000001</v>
      </c>
      <c r="FG27" s="6">
        <v>0.28571000000000002</v>
      </c>
      <c r="FH27" s="6">
        <v>0.28169</v>
      </c>
      <c r="FI27" s="6">
        <v>0.27778000000000003</v>
      </c>
      <c r="FJ27" s="6">
        <v>0.27396999999999999</v>
      </c>
      <c r="FK27" s="6">
        <v>0.27027000000000001</v>
      </c>
      <c r="FL27" s="6">
        <v>0.26667000000000002</v>
      </c>
      <c r="FM27" s="6">
        <v>0.26316000000000001</v>
      </c>
      <c r="FN27" s="6">
        <v>0.25974000000000003</v>
      </c>
      <c r="FO27" s="6">
        <v>0.25641000000000003</v>
      </c>
      <c r="FP27" s="6">
        <v>0.25316</v>
      </c>
      <c r="FQ27" s="6">
        <v>0.25</v>
      </c>
      <c r="FR27" s="6">
        <v>0.24690999999999999</v>
      </c>
      <c r="FS27" s="6">
        <v>0.24390000000000001</v>
      </c>
      <c r="FT27" s="6">
        <v>0.24096000000000001</v>
      </c>
      <c r="FU27" s="6">
        <v>0.23810000000000001</v>
      </c>
      <c r="FV27" s="6">
        <v>0.23529</v>
      </c>
      <c r="FW27" s="6">
        <v>0.23255999999999999</v>
      </c>
      <c r="FX27" s="6">
        <v>0.22989000000000001</v>
      </c>
      <c r="FY27" s="6">
        <v>0.22727</v>
      </c>
      <c r="FZ27" s="6">
        <v>0.22472</v>
      </c>
      <c r="GA27" s="6">
        <v>0.22222</v>
      </c>
    </row>
    <row r="28" spans="1:183" ht="15" x14ac:dyDescent="0.3">
      <c r="A28" s="10">
        <v>5.0000000000000001E-3</v>
      </c>
      <c r="B28" s="6">
        <v>6.6876300000000004</v>
      </c>
      <c r="C28" s="6">
        <v>6.6813000000000002</v>
      </c>
      <c r="D28" s="6">
        <v>6.6744300000000001</v>
      </c>
      <c r="E28" s="6">
        <v>6.6670299999999996</v>
      </c>
      <c r="F28" s="6">
        <v>6.6590699999999998</v>
      </c>
      <c r="G28" s="6">
        <v>6.6505599999999996</v>
      </c>
      <c r="H28" s="6">
        <v>6.6414799999999996</v>
      </c>
      <c r="I28" s="6">
        <v>6.6318299999999999</v>
      </c>
      <c r="J28" s="6">
        <v>6.6215900000000003</v>
      </c>
      <c r="K28" s="6">
        <v>6.6107500000000003</v>
      </c>
      <c r="L28" s="6">
        <v>6.59931</v>
      </c>
      <c r="M28" s="6">
        <v>6.58725</v>
      </c>
      <c r="N28" s="6">
        <v>6.57456</v>
      </c>
      <c r="O28" s="6">
        <v>6.5612399999999997</v>
      </c>
      <c r="P28" s="6">
        <v>6.5472700000000001</v>
      </c>
      <c r="Q28" s="6">
        <v>6.5326399999999998</v>
      </c>
      <c r="R28" s="6">
        <v>6.5173500000000004</v>
      </c>
      <c r="S28" s="6">
        <v>6.5013699999999996</v>
      </c>
      <c r="T28" s="6">
        <v>6.4847000000000001</v>
      </c>
      <c r="U28" s="6">
        <v>6.4673299999999996</v>
      </c>
      <c r="V28" s="6">
        <v>6.4492399999999996</v>
      </c>
      <c r="W28" s="6">
        <v>6.4304199999999998</v>
      </c>
      <c r="X28" s="6">
        <v>6.4108599999999996</v>
      </c>
      <c r="Y28" s="6">
        <v>6.3905500000000002</v>
      </c>
      <c r="Z28" s="6">
        <v>6.3694800000000003</v>
      </c>
      <c r="AA28" s="6">
        <v>6.34762</v>
      </c>
      <c r="AB28" s="6">
        <v>6.3249700000000004</v>
      </c>
      <c r="AC28" s="6">
        <v>6.3015100000000004</v>
      </c>
      <c r="AD28" s="6">
        <v>6.2772300000000003</v>
      </c>
      <c r="AE28" s="6">
        <v>6.2521199999999997</v>
      </c>
      <c r="AF28" s="6">
        <v>6.2261600000000001</v>
      </c>
      <c r="AG28" s="6">
        <v>6.1993299999999998</v>
      </c>
      <c r="AH28" s="6">
        <v>6.1716199999999999</v>
      </c>
      <c r="AI28" s="6">
        <v>6.1430199999999999</v>
      </c>
      <c r="AJ28" s="6">
        <v>6.1135099999999998</v>
      </c>
      <c r="AK28" s="6">
        <v>6.0830700000000002</v>
      </c>
      <c r="AL28" s="6">
        <v>6.0516899999999998</v>
      </c>
      <c r="AM28" s="6">
        <v>6.0193399999999997</v>
      </c>
      <c r="AN28" s="6">
        <v>5.9860199999999999</v>
      </c>
      <c r="AO28" s="6">
        <v>5.9517100000000003</v>
      </c>
      <c r="AP28" s="6">
        <v>5.9163899999999998</v>
      </c>
      <c r="AQ28" s="6">
        <v>5.8800400000000002</v>
      </c>
      <c r="AR28" s="6">
        <v>5.8426499999999999</v>
      </c>
      <c r="AS28" s="6">
        <v>5.8041799999999997</v>
      </c>
      <c r="AT28" s="6">
        <v>5.76464</v>
      </c>
      <c r="AU28" s="6">
        <v>5.7240000000000002</v>
      </c>
      <c r="AV28" s="6">
        <v>5.6822400000000002</v>
      </c>
      <c r="AW28" s="6">
        <v>5.6393399999999998</v>
      </c>
      <c r="AX28" s="6">
        <v>5.5952799999999998</v>
      </c>
      <c r="AY28" s="6">
        <v>5.5500499999999997</v>
      </c>
      <c r="AZ28" s="6">
        <v>5.5036199999999997</v>
      </c>
      <c r="BA28" s="6">
        <v>5.4559800000000003</v>
      </c>
      <c r="BB28" s="6">
        <v>5.4071100000000003</v>
      </c>
      <c r="BC28" s="6">
        <v>5.3569800000000001</v>
      </c>
      <c r="BD28" s="6">
        <v>5.3055899999999996</v>
      </c>
      <c r="BE28" s="6">
        <v>5.25291</v>
      </c>
      <c r="BF28" s="6">
        <v>5.1989200000000002</v>
      </c>
      <c r="BG28" s="6">
        <v>5.1436200000000003</v>
      </c>
      <c r="BH28" s="6">
        <v>5.08697</v>
      </c>
      <c r="BI28" s="6">
        <v>5.0289700000000002</v>
      </c>
      <c r="BJ28" s="6">
        <v>4.9695900000000002</v>
      </c>
      <c r="BK28" s="6">
        <v>4.9088399999999996</v>
      </c>
      <c r="BL28" s="6">
        <v>4.8466899999999997</v>
      </c>
      <c r="BM28" s="6">
        <v>4.7831299999999999</v>
      </c>
      <c r="BN28" s="6">
        <v>4.7181499999999996</v>
      </c>
      <c r="BO28" s="6">
        <v>4.6517600000000003</v>
      </c>
      <c r="BP28" s="6">
        <v>4.5839299999999996</v>
      </c>
      <c r="BQ28" s="6">
        <v>4.5146699999999997</v>
      </c>
      <c r="BR28" s="6">
        <v>4.4439799999999998</v>
      </c>
      <c r="BS28" s="6">
        <v>4.3718599999999999</v>
      </c>
      <c r="BT28" s="6">
        <v>4.2983200000000004</v>
      </c>
      <c r="BU28" s="6">
        <v>4.2233599999999996</v>
      </c>
      <c r="BV28" s="6">
        <v>4.1470000000000002</v>
      </c>
      <c r="BW28" s="6">
        <v>4.0692599999999999</v>
      </c>
      <c r="BX28" s="6">
        <v>3.9901599999999999</v>
      </c>
      <c r="BY28" s="6">
        <v>3.9097300000000001</v>
      </c>
      <c r="BZ28" s="6">
        <v>3.8279800000000002</v>
      </c>
      <c r="CA28" s="6">
        <v>3.7449699999999999</v>
      </c>
      <c r="CB28" s="6">
        <v>3.66073</v>
      </c>
      <c r="CC28" s="6">
        <v>3.5752999999999999</v>
      </c>
      <c r="CD28" s="6">
        <v>3.48874</v>
      </c>
      <c r="CE28" s="6">
        <v>3.4010899999999999</v>
      </c>
      <c r="CF28" s="6">
        <v>3.31243</v>
      </c>
      <c r="CG28" s="6">
        <v>3.22281</v>
      </c>
      <c r="CH28" s="6">
        <v>3.13232</v>
      </c>
      <c r="CI28" s="6">
        <v>3.0410200000000001</v>
      </c>
      <c r="CJ28" s="6">
        <v>2.9489999999999998</v>
      </c>
      <c r="CK28" s="6">
        <v>2.85636</v>
      </c>
      <c r="CL28" s="6">
        <v>2.7632099999999999</v>
      </c>
      <c r="CM28" s="6">
        <v>2.6696499999999999</v>
      </c>
      <c r="CN28" s="6">
        <v>2.5758299999999998</v>
      </c>
      <c r="CO28" s="6">
        <v>2.5758299999999998</v>
      </c>
      <c r="CP28" s="6">
        <v>2.4818699999999998</v>
      </c>
      <c r="CQ28" s="6">
        <v>2.38795</v>
      </c>
      <c r="CR28" s="6">
        <v>2.2942300000000002</v>
      </c>
      <c r="CS28" s="6">
        <v>2.20092</v>
      </c>
      <c r="CT28" s="6">
        <v>2.10825</v>
      </c>
      <c r="CU28" s="6">
        <v>2.0164399999999998</v>
      </c>
      <c r="CV28" s="6">
        <v>1.9258</v>
      </c>
      <c r="CW28" s="6">
        <v>1.8366</v>
      </c>
      <c r="CX28" s="6">
        <v>1.74919</v>
      </c>
      <c r="CY28" s="6">
        <v>1.6638999999999999</v>
      </c>
      <c r="CZ28" s="6">
        <v>1.5810999999999999</v>
      </c>
      <c r="DA28" s="6">
        <v>1.5011399999999999</v>
      </c>
      <c r="DB28" s="6">
        <v>1.42439</v>
      </c>
      <c r="DC28" s="6">
        <v>1.35114</v>
      </c>
      <c r="DD28" s="6">
        <v>1.2816700000000001</v>
      </c>
      <c r="DE28" s="6">
        <v>1.21618</v>
      </c>
      <c r="DF28" s="6">
        <v>1.1547700000000001</v>
      </c>
      <c r="DG28" s="6">
        <v>1.0974900000000001</v>
      </c>
      <c r="DH28" s="6">
        <v>1.04427</v>
      </c>
      <c r="DI28" s="6">
        <v>0.99499000000000004</v>
      </c>
      <c r="DJ28" s="6">
        <v>0.94945000000000002</v>
      </c>
      <c r="DK28" s="6">
        <v>0.90742</v>
      </c>
      <c r="DL28" s="6">
        <v>0.86863000000000001</v>
      </c>
      <c r="DM28" s="6">
        <v>0.83282999999999996</v>
      </c>
      <c r="DN28" s="6">
        <v>0.79973000000000005</v>
      </c>
      <c r="DO28" s="6">
        <v>0.76909000000000005</v>
      </c>
      <c r="DP28" s="6">
        <v>0.74067000000000005</v>
      </c>
      <c r="DQ28" s="6">
        <v>0.71425000000000005</v>
      </c>
      <c r="DR28" s="6">
        <v>0.68964000000000003</v>
      </c>
      <c r="DS28" s="6">
        <v>0.66666000000000003</v>
      </c>
      <c r="DT28" s="6">
        <v>0.64515999999999996</v>
      </c>
      <c r="DU28" s="6">
        <v>0.625</v>
      </c>
      <c r="DV28" s="6">
        <v>0.60606000000000004</v>
      </c>
      <c r="DW28" s="6">
        <v>0.58823999999999999</v>
      </c>
      <c r="DX28" s="6">
        <v>0.57142999999999999</v>
      </c>
      <c r="DY28" s="6">
        <v>0.55556000000000005</v>
      </c>
      <c r="DZ28" s="6">
        <v>0.54054000000000002</v>
      </c>
      <c r="EA28" s="6">
        <v>0.52632000000000001</v>
      </c>
      <c r="EB28" s="6">
        <v>0.51282000000000005</v>
      </c>
      <c r="EC28" s="6">
        <v>0.5</v>
      </c>
      <c r="ED28" s="6">
        <v>0.48780000000000001</v>
      </c>
      <c r="EE28" s="6">
        <v>0.47619</v>
      </c>
      <c r="EF28" s="6">
        <v>0.46511999999999998</v>
      </c>
      <c r="EG28" s="6">
        <v>0.45455000000000001</v>
      </c>
      <c r="EH28" s="6">
        <v>0.44444</v>
      </c>
      <c r="EI28" s="6">
        <v>0.43478</v>
      </c>
      <c r="EJ28" s="6">
        <v>0.42553000000000002</v>
      </c>
      <c r="EK28" s="6">
        <v>0.41666999999999998</v>
      </c>
      <c r="EL28" s="6">
        <v>0.40816000000000002</v>
      </c>
      <c r="EM28" s="6">
        <v>0.4</v>
      </c>
      <c r="EN28" s="6">
        <v>0.39216000000000001</v>
      </c>
      <c r="EO28" s="6">
        <v>0.38462000000000002</v>
      </c>
      <c r="EP28" s="6">
        <v>0.37735999999999997</v>
      </c>
      <c r="EQ28" s="6">
        <v>0.37036999999999998</v>
      </c>
      <c r="ER28" s="6">
        <v>0.36364000000000002</v>
      </c>
      <c r="ES28" s="6">
        <v>0.35714000000000001</v>
      </c>
      <c r="ET28" s="6">
        <v>0.35088000000000003</v>
      </c>
      <c r="EU28" s="6">
        <v>0.34483000000000003</v>
      </c>
      <c r="EV28" s="6">
        <v>0.33898</v>
      </c>
      <c r="EW28" s="6">
        <v>0.33333000000000002</v>
      </c>
      <c r="EX28" s="6">
        <v>0.32786999999999999</v>
      </c>
      <c r="EY28" s="6">
        <v>0.32257999999999998</v>
      </c>
      <c r="EZ28" s="6">
        <v>0.31746000000000002</v>
      </c>
      <c r="FA28" s="6">
        <v>0.3125</v>
      </c>
      <c r="FB28" s="6">
        <v>0.30769000000000002</v>
      </c>
      <c r="FC28" s="6">
        <v>0.30303000000000002</v>
      </c>
      <c r="FD28" s="6">
        <v>0.29851</v>
      </c>
      <c r="FE28" s="6">
        <v>0.29411999999999999</v>
      </c>
      <c r="FF28" s="6">
        <v>0.28986000000000001</v>
      </c>
      <c r="FG28" s="6">
        <v>0.28571000000000002</v>
      </c>
      <c r="FH28" s="6">
        <v>0.28169</v>
      </c>
      <c r="FI28" s="6">
        <v>0.27778000000000003</v>
      </c>
      <c r="FJ28" s="6">
        <v>0.27396999999999999</v>
      </c>
      <c r="FK28" s="6">
        <v>0.27027000000000001</v>
      </c>
      <c r="FL28" s="6">
        <v>0.26667000000000002</v>
      </c>
      <c r="FM28" s="6">
        <v>0.26316000000000001</v>
      </c>
      <c r="FN28" s="6">
        <v>0.25974000000000003</v>
      </c>
      <c r="FO28" s="6">
        <v>0.25641000000000003</v>
      </c>
      <c r="FP28" s="6">
        <v>0.25316</v>
      </c>
      <c r="FQ28" s="6">
        <v>0.25</v>
      </c>
      <c r="FR28" s="6">
        <v>0.24690999999999999</v>
      </c>
      <c r="FS28" s="6">
        <v>0.24390000000000001</v>
      </c>
      <c r="FT28" s="6">
        <v>0.24096000000000001</v>
      </c>
      <c r="FU28" s="6">
        <v>0.23810000000000001</v>
      </c>
      <c r="FV28" s="6">
        <v>0.23529</v>
      </c>
      <c r="FW28" s="6">
        <v>0.23255999999999999</v>
      </c>
      <c r="FX28" s="6">
        <v>0.22989000000000001</v>
      </c>
      <c r="FY28" s="6">
        <v>0.22727</v>
      </c>
      <c r="FZ28" s="6">
        <v>0.22472</v>
      </c>
      <c r="GA28" s="6">
        <v>0.22222</v>
      </c>
    </row>
    <row r="29" spans="1:183" ht="15" x14ac:dyDescent="0.3">
      <c r="A29" s="10">
        <v>2E-3</v>
      </c>
      <c r="B29" s="6">
        <v>9.6570099999999996</v>
      </c>
      <c r="C29" s="6">
        <v>9.6250400000000003</v>
      </c>
      <c r="D29" s="6">
        <v>9.5924300000000002</v>
      </c>
      <c r="E29" s="6">
        <v>9.5591500000000007</v>
      </c>
      <c r="F29" s="6">
        <v>9.5252099999999995</v>
      </c>
      <c r="G29" s="6">
        <v>9.4906000000000006</v>
      </c>
      <c r="H29" s="6">
        <v>9.4552999999999994</v>
      </c>
      <c r="I29" s="6">
        <v>9.4193099999999994</v>
      </c>
      <c r="J29" s="6">
        <v>9.3826199999999993</v>
      </c>
      <c r="K29" s="6">
        <v>9.3452099999999998</v>
      </c>
      <c r="L29" s="6">
        <v>9.3070900000000005</v>
      </c>
      <c r="M29" s="6">
        <v>9.2682300000000009</v>
      </c>
      <c r="N29" s="6">
        <v>9.2286300000000008</v>
      </c>
      <c r="O29" s="6">
        <v>9.1882800000000007</v>
      </c>
      <c r="P29" s="6">
        <v>9.1471699999999991</v>
      </c>
      <c r="Q29" s="6">
        <v>9.1052800000000005</v>
      </c>
      <c r="R29" s="6">
        <v>9.0626099999999994</v>
      </c>
      <c r="S29" s="6">
        <v>9.0191499999999998</v>
      </c>
      <c r="T29" s="6">
        <v>8.9748800000000006</v>
      </c>
      <c r="U29" s="6">
        <v>8.9297900000000006</v>
      </c>
      <c r="V29" s="6">
        <v>8.8838699999999999</v>
      </c>
      <c r="W29" s="6">
        <v>8.8371099999999991</v>
      </c>
      <c r="X29" s="6">
        <v>8.7895000000000003</v>
      </c>
      <c r="Y29" s="6">
        <v>8.7410200000000007</v>
      </c>
      <c r="Z29" s="6">
        <v>8.6916700000000002</v>
      </c>
      <c r="AA29" s="6">
        <v>8.6414200000000001</v>
      </c>
      <c r="AB29" s="6">
        <v>8.5902700000000003</v>
      </c>
      <c r="AC29" s="6">
        <v>8.5381999999999998</v>
      </c>
      <c r="AD29" s="6">
        <v>8.4851899999999993</v>
      </c>
      <c r="AE29" s="6">
        <v>8.4312500000000004</v>
      </c>
      <c r="AF29" s="6">
        <v>8.3763400000000008</v>
      </c>
      <c r="AG29" s="6">
        <v>8.3204600000000006</v>
      </c>
      <c r="AH29" s="6">
        <v>8.2635900000000007</v>
      </c>
      <c r="AI29" s="6">
        <v>8.2057199999999995</v>
      </c>
      <c r="AJ29" s="6">
        <v>8.1468299999999996</v>
      </c>
      <c r="AK29" s="6">
        <v>8.0869099999999996</v>
      </c>
      <c r="AL29" s="6">
        <v>8.0259400000000003</v>
      </c>
      <c r="AM29" s="6">
        <v>7.9638999999999998</v>
      </c>
      <c r="AN29" s="6">
        <v>7.9007800000000001</v>
      </c>
      <c r="AO29" s="6">
        <v>7.83657</v>
      </c>
      <c r="AP29" s="6">
        <v>7.7712399999999997</v>
      </c>
      <c r="AQ29" s="6">
        <v>7.70479</v>
      </c>
      <c r="AR29" s="6">
        <v>7.6371799999999999</v>
      </c>
      <c r="AS29" s="6">
        <v>7.5684199999999997</v>
      </c>
      <c r="AT29" s="6">
        <v>7.4984700000000002</v>
      </c>
      <c r="AU29" s="6">
        <v>7.4273300000000004</v>
      </c>
      <c r="AV29" s="6">
        <v>7.3549699999999998</v>
      </c>
      <c r="AW29" s="6">
        <v>7.2813800000000004</v>
      </c>
      <c r="AX29" s="6">
        <v>7.2065400000000004</v>
      </c>
      <c r="AY29" s="6">
        <v>7.1304299999999996</v>
      </c>
      <c r="AZ29" s="6">
        <v>7.0530400000000002</v>
      </c>
      <c r="BA29" s="6">
        <v>6.9743500000000003</v>
      </c>
      <c r="BB29" s="6">
        <v>6.8943500000000002</v>
      </c>
      <c r="BC29" s="6">
        <v>6.8130100000000002</v>
      </c>
      <c r="BD29" s="6">
        <v>6.7303199999999999</v>
      </c>
      <c r="BE29" s="6">
        <v>6.6462700000000003</v>
      </c>
      <c r="BF29" s="6">
        <v>6.5608399999999998</v>
      </c>
      <c r="BG29" s="6">
        <v>6.4740099999999998</v>
      </c>
      <c r="BH29" s="6">
        <v>6.3857799999999996</v>
      </c>
      <c r="BI29" s="6">
        <v>6.2961299999999998</v>
      </c>
      <c r="BJ29" s="6">
        <v>6.2050599999999996</v>
      </c>
      <c r="BK29" s="6">
        <v>6.1125400000000001</v>
      </c>
      <c r="BL29" s="6">
        <v>6.01858</v>
      </c>
      <c r="BM29" s="6">
        <v>5.9231600000000002</v>
      </c>
      <c r="BN29" s="6">
        <v>5.8262900000000002</v>
      </c>
      <c r="BO29" s="6">
        <v>5.7279600000000004</v>
      </c>
      <c r="BP29" s="6">
        <v>5.6281800000000004</v>
      </c>
      <c r="BQ29" s="6">
        <v>5.5269399999999997</v>
      </c>
      <c r="BR29" s="6">
        <v>5.4242600000000003</v>
      </c>
      <c r="BS29" s="6">
        <v>5.3201400000000003</v>
      </c>
      <c r="BT29" s="6">
        <v>5.2146100000000004</v>
      </c>
      <c r="BU29" s="6">
        <v>5.1076800000000002</v>
      </c>
      <c r="BV29" s="6">
        <v>4.9993699999999999</v>
      </c>
      <c r="BW29" s="6">
        <v>4.88971</v>
      </c>
      <c r="BX29" s="6">
        <v>4.7787499999999996</v>
      </c>
      <c r="BY29" s="6">
        <v>4.6665099999999997</v>
      </c>
      <c r="BZ29" s="6">
        <v>4.5530400000000002</v>
      </c>
      <c r="CA29" s="6">
        <v>4.4383900000000001</v>
      </c>
      <c r="CB29" s="6">
        <v>4.3226300000000002</v>
      </c>
      <c r="CC29" s="6">
        <v>4.2058200000000001</v>
      </c>
      <c r="CD29" s="6">
        <v>4.0880200000000002</v>
      </c>
      <c r="CE29" s="6">
        <v>3.9693200000000002</v>
      </c>
      <c r="CF29" s="6">
        <v>3.8498100000000002</v>
      </c>
      <c r="CG29" s="6">
        <v>3.7295699999999998</v>
      </c>
      <c r="CH29" s="6">
        <v>3.6087199999999999</v>
      </c>
      <c r="CI29" s="6">
        <v>3.4873699999999999</v>
      </c>
      <c r="CJ29" s="6">
        <v>3.3656600000000001</v>
      </c>
      <c r="CK29" s="6">
        <v>3.2437100000000001</v>
      </c>
      <c r="CL29" s="6">
        <v>3.1216900000000001</v>
      </c>
      <c r="CM29" s="6">
        <v>2.9997799999999999</v>
      </c>
      <c r="CN29" s="6">
        <v>2.8781599999999998</v>
      </c>
      <c r="CO29" s="6">
        <v>2.8781599999999998</v>
      </c>
      <c r="CP29" s="6">
        <v>2.7570600000000001</v>
      </c>
      <c r="CQ29" s="6">
        <v>2.63672</v>
      </c>
      <c r="CR29" s="6">
        <v>2.5174099999999999</v>
      </c>
      <c r="CS29" s="6">
        <v>2.3994200000000001</v>
      </c>
      <c r="CT29" s="6">
        <v>2.2831100000000002</v>
      </c>
      <c r="CU29" s="6">
        <v>2.1688399999999999</v>
      </c>
      <c r="CV29" s="6">
        <v>2.05701</v>
      </c>
      <c r="CW29" s="6">
        <v>1.9480599999999999</v>
      </c>
      <c r="CX29" s="6">
        <v>1.8424400000000001</v>
      </c>
      <c r="CY29" s="6">
        <v>1.7406200000000001</v>
      </c>
      <c r="CZ29" s="6">
        <v>1.6430499999999999</v>
      </c>
      <c r="DA29" s="6">
        <v>1.55016</v>
      </c>
      <c r="DB29" s="6">
        <v>1.4623200000000001</v>
      </c>
      <c r="DC29" s="6">
        <v>1.37981</v>
      </c>
      <c r="DD29" s="6">
        <v>1.3027899999999999</v>
      </c>
      <c r="DE29" s="6">
        <v>1.23132</v>
      </c>
      <c r="DF29" s="6">
        <v>1.16534</v>
      </c>
      <c r="DG29" s="6">
        <v>1.1046499999999999</v>
      </c>
      <c r="DH29" s="6">
        <v>1.04898</v>
      </c>
      <c r="DI29" s="6">
        <v>0.998</v>
      </c>
      <c r="DJ29" s="6">
        <v>0.95130999999999999</v>
      </c>
      <c r="DK29" s="6">
        <v>0.90854000000000001</v>
      </c>
      <c r="DL29" s="6">
        <v>0.86929000000000001</v>
      </c>
      <c r="DM29" s="6">
        <v>0.83320000000000005</v>
      </c>
      <c r="DN29" s="6">
        <v>0.79993999999999998</v>
      </c>
      <c r="DO29" s="6">
        <v>0.76919999999999999</v>
      </c>
      <c r="DP29" s="6">
        <v>0.74073</v>
      </c>
      <c r="DQ29" s="6">
        <v>0.71428000000000003</v>
      </c>
      <c r="DR29" s="6">
        <v>0.68964999999999999</v>
      </c>
      <c r="DS29" s="6">
        <v>0.66666999999999998</v>
      </c>
      <c r="DT29" s="6">
        <v>0.64515999999999996</v>
      </c>
      <c r="DU29" s="6">
        <v>0.625</v>
      </c>
      <c r="DV29" s="6">
        <v>0.60606000000000004</v>
      </c>
      <c r="DW29" s="6">
        <v>0.58823999999999999</v>
      </c>
      <c r="DX29" s="6">
        <v>0.57142999999999999</v>
      </c>
      <c r="DY29" s="6">
        <v>0.55556000000000005</v>
      </c>
      <c r="DZ29" s="6">
        <v>0.54054000000000002</v>
      </c>
      <c r="EA29" s="6">
        <v>0.52632000000000001</v>
      </c>
      <c r="EB29" s="6">
        <v>0.51282000000000005</v>
      </c>
      <c r="EC29" s="6">
        <v>0.5</v>
      </c>
      <c r="ED29" s="6">
        <v>0.48780000000000001</v>
      </c>
      <c r="EE29" s="6">
        <v>0.47619</v>
      </c>
      <c r="EF29" s="6">
        <v>0.46511999999999998</v>
      </c>
      <c r="EG29" s="6">
        <v>0.45455000000000001</v>
      </c>
      <c r="EH29" s="6">
        <v>0.44444</v>
      </c>
      <c r="EI29" s="6">
        <v>0.43478</v>
      </c>
      <c r="EJ29" s="6">
        <v>0.42553000000000002</v>
      </c>
      <c r="EK29" s="6">
        <v>0.41666999999999998</v>
      </c>
      <c r="EL29" s="6">
        <v>0.40816000000000002</v>
      </c>
      <c r="EM29" s="6">
        <v>0.4</v>
      </c>
      <c r="EN29" s="6">
        <v>0.39216000000000001</v>
      </c>
      <c r="EO29" s="6">
        <v>0.38462000000000002</v>
      </c>
      <c r="EP29" s="6">
        <v>0.37735999999999997</v>
      </c>
      <c r="EQ29" s="6">
        <v>0.37036999999999998</v>
      </c>
      <c r="ER29" s="6">
        <v>0.36364000000000002</v>
      </c>
      <c r="ES29" s="6">
        <v>0.35714000000000001</v>
      </c>
      <c r="ET29" s="6">
        <v>0.35088000000000003</v>
      </c>
      <c r="EU29" s="6">
        <v>0.34483000000000003</v>
      </c>
      <c r="EV29" s="6">
        <v>0.33898</v>
      </c>
      <c r="EW29" s="6">
        <v>0.33333000000000002</v>
      </c>
      <c r="EX29" s="6">
        <v>0.32786999999999999</v>
      </c>
      <c r="EY29" s="6">
        <v>0.32257999999999998</v>
      </c>
      <c r="EZ29" s="6">
        <v>0.31746000000000002</v>
      </c>
      <c r="FA29" s="6">
        <v>0.3125</v>
      </c>
      <c r="FB29" s="6">
        <v>0.30769000000000002</v>
      </c>
      <c r="FC29" s="6">
        <v>0.30303000000000002</v>
      </c>
      <c r="FD29" s="6">
        <v>0.29851</v>
      </c>
      <c r="FE29" s="6">
        <v>0.29411999999999999</v>
      </c>
      <c r="FF29" s="6">
        <v>0.28986000000000001</v>
      </c>
      <c r="FG29" s="6">
        <v>0.28571000000000002</v>
      </c>
      <c r="FH29" s="6">
        <v>0.28169</v>
      </c>
      <c r="FI29" s="6">
        <v>0.27778000000000003</v>
      </c>
      <c r="FJ29" s="6">
        <v>0.27396999999999999</v>
      </c>
      <c r="FK29" s="6">
        <v>0.27027000000000001</v>
      </c>
      <c r="FL29" s="6">
        <v>0.26667000000000002</v>
      </c>
      <c r="FM29" s="6">
        <v>0.26316000000000001</v>
      </c>
      <c r="FN29" s="6">
        <v>0.25974000000000003</v>
      </c>
      <c r="FO29" s="6">
        <v>0.25641000000000003</v>
      </c>
      <c r="FP29" s="6">
        <v>0.25316</v>
      </c>
      <c r="FQ29" s="6">
        <v>0.25</v>
      </c>
      <c r="FR29" s="6">
        <v>0.24690999999999999</v>
      </c>
      <c r="FS29" s="6">
        <v>0.24390000000000001</v>
      </c>
      <c r="FT29" s="6">
        <v>0.24096000000000001</v>
      </c>
      <c r="FU29" s="6">
        <v>0.23810000000000001</v>
      </c>
      <c r="FV29" s="6">
        <v>0.23529</v>
      </c>
      <c r="FW29" s="6">
        <v>0.23255999999999999</v>
      </c>
      <c r="FX29" s="6">
        <v>0.22989000000000001</v>
      </c>
      <c r="FY29" s="6">
        <v>0.22727</v>
      </c>
      <c r="FZ29" s="6">
        <v>0.22472</v>
      </c>
      <c r="GA29" s="6">
        <v>0.22222</v>
      </c>
    </row>
    <row r="30" spans="1:183" ht="15" x14ac:dyDescent="0.3">
      <c r="A30" s="10">
        <v>1E-3</v>
      </c>
      <c r="B30" s="6">
        <v>12.044370000000001</v>
      </c>
      <c r="C30" s="6">
        <v>11.99009</v>
      </c>
      <c r="D30" s="6">
        <v>11.935090000000001</v>
      </c>
      <c r="E30" s="6">
        <v>11.879379999999999</v>
      </c>
      <c r="F30" s="6">
        <v>11.822939999999999</v>
      </c>
      <c r="G30" s="6">
        <v>11.76576</v>
      </c>
      <c r="H30" s="6">
        <v>11.707850000000001</v>
      </c>
      <c r="I30" s="6">
        <v>11.64917</v>
      </c>
      <c r="J30" s="6">
        <v>11.589740000000001</v>
      </c>
      <c r="K30" s="6">
        <v>11.529529999999999</v>
      </c>
      <c r="L30" s="6">
        <v>11.46855</v>
      </c>
      <c r="M30" s="6">
        <v>11.40677</v>
      </c>
      <c r="N30" s="6">
        <v>11.344189999999999</v>
      </c>
      <c r="O30" s="6">
        <v>11.280799999999999</v>
      </c>
      <c r="P30" s="6">
        <v>11.21658</v>
      </c>
      <c r="Q30" s="6">
        <v>11.151540000000001</v>
      </c>
      <c r="R30" s="6">
        <v>11.085649999999999</v>
      </c>
      <c r="S30" s="6">
        <v>11.0189</v>
      </c>
      <c r="T30" s="6">
        <v>10.95129</v>
      </c>
      <c r="U30" s="6">
        <v>10.882809999999999</v>
      </c>
      <c r="V30" s="6">
        <v>10.81343</v>
      </c>
      <c r="W30" s="6">
        <v>10.74316</v>
      </c>
      <c r="X30" s="6">
        <v>10.67197</v>
      </c>
      <c r="Y30" s="6">
        <v>10.59986</v>
      </c>
      <c r="Z30" s="6">
        <v>10.526809999999999</v>
      </c>
      <c r="AA30" s="6">
        <v>10.452809999999999</v>
      </c>
      <c r="AB30" s="6">
        <v>10.37785</v>
      </c>
      <c r="AC30" s="6">
        <v>10.301920000000001</v>
      </c>
      <c r="AD30" s="6">
        <v>10.22499</v>
      </c>
      <c r="AE30" s="6">
        <v>10.14706</v>
      </c>
      <c r="AF30" s="6">
        <v>10.06812</v>
      </c>
      <c r="AG30" s="6">
        <v>9.9881499999999992</v>
      </c>
      <c r="AH30" s="6">
        <v>9.9071300000000004</v>
      </c>
      <c r="AI30" s="6">
        <v>9.8250499999999992</v>
      </c>
      <c r="AJ30" s="6">
        <v>9.7418999999999993</v>
      </c>
      <c r="AK30" s="6">
        <v>9.6576599999999999</v>
      </c>
      <c r="AL30" s="6">
        <v>9.5723199999999995</v>
      </c>
      <c r="AM30" s="6">
        <v>9.4858600000000006</v>
      </c>
      <c r="AN30" s="6">
        <v>9.3982700000000001</v>
      </c>
      <c r="AO30" s="6">
        <v>9.3095199999999991</v>
      </c>
      <c r="AP30" s="6">
        <v>9.2196099999999994</v>
      </c>
      <c r="AQ30" s="6">
        <v>9.12852</v>
      </c>
      <c r="AR30" s="6">
        <v>9.0362299999999998</v>
      </c>
      <c r="AS30" s="6">
        <v>8.9427299999999992</v>
      </c>
      <c r="AT30" s="6">
        <v>8.8480000000000008</v>
      </c>
      <c r="AU30" s="6">
        <v>8.7520199999999999</v>
      </c>
      <c r="AV30" s="6">
        <v>8.6547900000000002</v>
      </c>
      <c r="AW30" s="6">
        <v>8.5562699999999996</v>
      </c>
      <c r="AX30" s="6">
        <v>8.4564599999999999</v>
      </c>
      <c r="AY30" s="6">
        <v>8.35534</v>
      </c>
      <c r="AZ30" s="6">
        <v>8.2528900000000007</v>
      </c>
      <c r="BA30" s="6">
        <v>8.1491000000000007</v>
      </c>
      <c r="BB30" s="6">
        <v>8.0439500000000006</v>
      </c>
      <c r="BC30" s="6">
        <v>7.9374399999999996</v>
      </c>
      <c r="BD30" s="6">
        <v>7.8295399999999997</v>
      </c>
      <c r="BE30" s="6">
        <v>7.7202400000000004</v>
      </c>
      <c r="BF30" s="6">
        <v>7.6095300000000003</v>
      </c>
      <c r="BG30" s="6">
        <v>7.4973900000000002</v>
      </c>
      <c r="BH30" s="6">
        <v>7.3838200000000001</v>
      </c>
      <c r="BI30" s="6">
        <v>7.2688100000000002</v>
      </c>
      <c r="BJ30" s="6">
        <v>7.1523500000000002</v>
      </c>
      <c r="BK30" s="6">
        <v>7.0344300000000004</v>
      </c>
      <c r="BL30" s="6">
        <v>6.9150499999999999</v>
      </c>
      <c r="BM30" s="6">
        <v>6.7942099999999996</v>
      </c>
      <c r="BN30" s="6">
        <v>6.6719099999999996</v>
      </c>
      <c r="BO30" s="6">
        <v>6.5481400000000001</v>
      </c>
      <c r="BP30" s="6">
        <v>6.4229200000000004</v>
      </c>
      <c r="BQ30" s="6">
        <v>6.2962600000000002</v>
      </c>
      <c r="BR30" s="6">
        <v>6.1681600000000003</v>
      </c>
      <c r="BS30" s="6">
        <v>6.0386499999999996</v>
      </c>
      <c r="BT30" s="6">
        <v>5.9077599999999997</v>
      </c>
      <c r="BU30" s="6">
        <v>5.7754899999999996</v>
      </c>
      <c r="BV30" s="6">
        <v>5.6418999999999997</v>
      </c>
      <c r="BW30" s="6">
        <v>5.5070100000000002</v>
      </c>
      <c r="BX30" s="6">
        <v>5.37087</v>
      </c>
      <c r="BY30" s="6">
        <v>5.23353</v>
      </c>
      <c r="BZ30" s="6">
        <v>5.0950499999999996</v>
      </c>
      <c r="CA30" s="6">
        <v>4.9554900000000002</v>
      </c>
      <c r="CB30" s="6">
        <v>4.8149199999999999</v>
      </c>
      <c r="CC30" s="6">
        <v>4.6734400000000003</v>
      </c>
      <c r="CD30" s="6">
        <v>4.5311199999999996</v>
      </c>
      <c r="CE30" s="6">
        <v>4.3880699999999999</v>
      </c>
      <c r="CF30" s="6">
        <v>4.2443900000000001</v>
      </c>
      <c r="CG30" s="6">
        <v>4.1002200000000002</v>
      </c>
      <c r="CH30" s="6">
        <v>3.95567</v>
      </c>
      <c r="CI30" s="6">
        <v>3.8109000000000002</v>
      </c>
      <c r="CJ30" s="6">
        <v>3.66608</v>
      </c>
      <c r="CK30" s="6">
        <v>3.5213899999999998</v>
      </c>
      <c r="CL30" s="6">
        <v>3.37703</v>
      </c>
      <c r="CM30" s="6">
        <v>3.2332200000000002</v>
      </c>
      <c r="CN30" s="6">
        <v>3.09023</v>
      </c>
      <c r="CO30" s="6">
        <v>3.09023</v>
      </c>
      <c r="CP30" s="6">
        <v>2.94834</v>
      </c>
      <c r="CQ30" s="6">
        <v>2.8078599999999998</v>
      </c>
      <c r="CR30" s="6">
        <v>2.6691500000000001</v>
      </c>
      <c r="CS30" s="6">
        <v>2.53261</v>
      </c>
      <c r="CT30" s="6">
        <v>2.3986700000000001</v>
      </c>
      <c r="CU30" s="6">
        <v>2.2677999999999998</v>
      </c>
      <c r="CV30" s="6">
        <v>2.14053</v>
      </c>
      <c r="CW30" s="6">
        <v>2.0173899999999998</v>
      </c>
      <c r="CX30" s="6">
        <v>1.8989400000000001</v>
      </c>
      <c r="CY30" s="6">
        <v>1.78572</v>
      </c>
      <c r="CZ30" s="6">
        <v>1.67825</v>
      </c>
      <c r="DA30" s="6">
        <v>1.5769500000000001</v>
      </c>
      <c r="DB30" s="6">
        <v>1.4821599999999999</v>
      </c>
      <c r="DC30" s="6">
        <v>1.39408</v>
      </c>
      <c r="DD30" s="6">
        <v>1.3127500000000001</v>
      </c>
      <c r="DE30" s="6">
        <v>1.2380500000000001</v>
      </c>
      <c r="DF30" s="6">
        <v>1.16974</v>
      </c>
      <c r="DG30" s="6">
        <v>1.1074299999999999</v>
      </c>
      <c r="DH30" s="6">
        <v>1.0506800000000001</v>
      </c>
      <c r="DI30" s="6">
        <v>0.999</v>
      </c>
      <c r="DJ30" s="6">
        <v>0.95187999999999995</v>
      </c>
      <c r="DK30" s="6">
        <v>0.90885000000000005</v>
      </c>
      <c r="DL30" s="6">
        <v>0.86944999999999995</v>
      </c>
      <c r="DM30" s="6">
        <v>0.83328000000000002</v>
      </c>
      <c r="DN30" s="6">
        <v>0.79998000000000002</v>
      </c>
      <c r="DO30" s="6">
        <v>0.76922000000000001</v>
      </c>
      <c r="DP30" s="6">
        <v>0.74073999999999995</v>
      </c>
      <c r="DQ30" s="6">
        <v>0.71428000000000003</v>
      </c>
      <c r="DR30" s="6">
        <v>0.68964999999999999</v>
      </c>
      <c r="DS30" s="6">
        <v>0.66666999999999998</v>
      </c>
      <c r="DT30" s="6">
        <v>0.64515999999999996</v>
      </c>
      <c r="DU30" s="6">
        <v>0.625</v>
      </c>
      <c r="DV30" s="6">
        <v>0.60606000000000004</v>
      </c>
      <c r="DW30" s="6">
        <v>0.58823999999999999</v>
      </c>
      <c r="DX30" s="6">
        <v>0.57142999999999999</v>
      </c>
      <c r="DY30" s="6">
        <v>0.55556000000000005</v>
      </c>
      <c r="DZ30" s="6">
        <v>0.54054000000000002</v>
      </c>
      <c r="EA30" s="6">
        <v>0.52632000000000001</v>
      </c>
      <c r="EB30" s="6">
        <v>0.51282000000000005</v>
      </c>
      <c r="EC30" s="6">
        <v>0.5</v>
      </c>
      <c r="ED30" s="6">
        <v>0.48780000000000001</v>
      </c>
      <c r="EE30" s="6">
        <v>0.47619</v>
      </c>
      <c r="EF30" s="6">
        <v>0.46511999999999998</v>
      </c>
      <c r="EG30" s="6">
        <v>0.45455000000000001</v>
      </c>
      <c r="EH30" s="6">
        <v>0.44444</v>
      </c>
      <c r="EI30" s="6">
        <v>0.43478</v>
      </c>
      <c r="EJ30" s="6">
        <v>0.42553000000000002</v>
      </c>
      <c r="EK30" s="6">
        <v>0.41666999999999998</v>
      </c>
      <c r="EL30" s="6">
        <v>0.40816000000000002</v>
      </c>
      <c r="EM30" s="6">
        <v>0.4</v>
      </c>
      <c r="EN30" s="6">
        <v>0.39216000000000001</v>
      </c>
      <c r="EO30" s="6">
        <v>0.38462000000000002</v>
      </c>
      <c r="EP30" s="6">
        <v>0.37735999999999997</v>
      </c>
      <c r="EQ30" s="6">
        <v>0.37036999999999998</v>
      </c>
      <c r="ER30" s="6">
        <v>0.36364000000000002</v>
      </c>
      <c r="ES30" s="6">
        <v>0.35714000000000001</v>
      </c>
      <c r="ET30" s="6">
        <v>0.35088000000000003</v>
      </c>
      <c r="EU30" s="6">
        <v>0.34483000000000003</v>
      </c>
      <c r="EV30" s="6">
        <v>0.33898</v>
      </c>
      <c r="EW30" s="6">
        <v>0.33333000000000002</v>
      </c>
      <c r="EX30" s="6">
        <v>0.32786999999999999</v>
      </c>
      <c r="EY30" s="6">
        <v>0.32257999999999998</v>
      </c>
      <c r="EZ30" s="6">
        <v>0.31746000000000002</v>
      </c>
      <c r="FA30" s="6">
        <v>0.3125</v>
      </c>
      <c r="FB30" s="6">
        <v>0.30769000000000002</v>
      </c>
      <c r="FC30" s="6">
        <v>0.30303000000000002</v>
      </c>
      <c r="FD30" s="6">
        <v>0.29851</v>
      </c>
      <c r="FE30" s="6">
        <v>0.29411999999999999</v>
      </c>
      <c r="FF30" s="6">
        <v>0.28986000000000001</v>
      </c>
      <c r="FG30" s="6">
        <v>0.28571000000000002</v>
      </c>
      <c r="FH30" s="6">
        <v>0.28169</v>
      </c>
      <c r="FI30" s="6">
        <v>0.27778000000000003</v>
      </c>
      <c r="FJ30" s="6">
        <v>0.27396999999999999</v>
      </c>
      <c r="FK30" s="6">
        <v>0.27027000000000001</v>
      </c>
      <c r="FL30" s="6">
        <v>0.26667000000000002</v>
      </c>
      <c r="FM30" s="6">
        <v>0.26316000000000001</v>
      </c>
      <c r="FN30" s="6">
        <v>0.25974000000000003</v>
      </c>
      <c r="FO30" s="6">
        <v>0.25641000000000003</v>
      </c>
      <c r="FP30" s="6">
        <v>0.25316</v>
      </c>
      <c r="FQ30" s="6">
        <v>0.25</v>
      </c>
      <c r="FR30" s="6">
        <v>0.24690999999999999</v>
      </c>
      <c r="FS30" s="6">
        <v>0.24390000000000001</v>
      </c>
      <c r="FT30" s="6">
        <v>0.24096000000000001</v>
      </c>
      <c r="FU30" s="6">
        <v>0.23810000000000001</v>
      </c>
      <c r="FV30" s="6">
        <v>0.23529</v>
      </c>
      <c r="FW30" s="6">
        <v>0.23255999999999999</v>
      </c>
      <c r="FX30" s="6">
        <v>0.22989000000000001</v>
      </c>
      <c r="FY30" s="6">
        <v>0.22727</v>
      </c>
      <c r="FZ30" s="6">
        <v>0.22472</v>
      </c>
      <c r="GA30" s="6">
        <v>0.22222</v>
      </c>
    </row>
    <row r="31" spans="1:183" ht="15" x14ac:dyDescent="0.3">
      <c r="A31" s="10">
        <v>5.0000000000000001E-4</v>
      </c>
      <c r="B31" s="6">
        <v>14.522880000000001</v>
      </c>
      <c r="C31" s="6">
        <v>14.444459999999999</v>
      </c>
      <c r="D31" s="6">
        <v>14.36528</v>
      </c>
      <c r="E31" s="6">
        <v>14.28534</v>
      </c>
      <c r="F31" s="6">
        <v>14.20463</v>
      </c>
      <c r="G31" s="6">
        <v>14.123139999999999</v>
      </c>
      <c r="H31" s="6">
        <v>14.04086</v>
      </c>
      <c r="I31" s="6">
        <v>13.95778</v>
      </c>
      <c r="J31" s="6">
        <v>13.873889999999999</v>
      </c>
      <c r="K31" s="6">
        <v>13.78919</v>
      </c>
      <c r="L31" s="6">
        <v>13.703659999999999</v>
      </c>
      <c r="M31" s="6">
        <v>13.6173</v>
      </c>
      <c r="N31" s="6">
        <v>13.53009</v>
      </c>
      <c r="O31" s="6">
        <v>13.442019999999999</v>
      </c>
      <c r="P31" s="6">
        <v>13.35309</v>
      </c>
      <c r="Q31" s="6">
        <v>13.26328</v>
      </c>
      <c r="R31" s="6">
        <v>13.17258</v>
      </c>
      <c r="S31" s="6">
        <v>13.08098</v>
      </c>
      <c r="T31" s="6">
        <v>12.988479999999999</v>
      </c>
      <c r="U31" s="6">
        <v>12.895049999999999</v>
      </c>
      <c r="V31" s="6">
        <v>12.800689999999999</v>
      </c>
      <c r="W31" s="6">
        <v>12.70539</v>
      </c>
      <c r="X31" s="6">
        <v>12.60913</v>
      </c>
      <c r="Y31" s="6">
        <v>12.511900000000001</v>
      </c>
      <c r="Z31" s="6">
        <v>12.4137</v>
      </c>
      <c r="AA31" s="6">
        <v>12.314500000000001</v>
      </c>
      <c r="AB31" s="6">
        <v>12.21429</v>
      </c>
      <c r="AC31" s="6">
        <v>12.11307</v>
      </c>
      <c r="AD31" s="6">
        <v>12.010820000000001</v>
      </c>
      <c r="AE31" s="6">
        <v>11.90752</v>
      </c>
      <c r="AF31" s="6">
        <v>11.80316</v>
      </c>
      <c r="AG31" s="6">
        <v>11.69773</v>
      </c>
      <c r="AH31" s="6">
        <v>11.59122</v>
      </c>
      <c r="AI31" s="6">
        <v>11.483599999999999</v>
      </c>
      <c r="AJ31" s="6">
        <v>11.37487</v>
      </c>
      <c r="AK31" s="6">
        <v>11.26502</v>
      </c>
      <c r="AL31" s="6">
        <v>11.154019999999999</v>
      </c>
      <c r="AM31" s="6">
        <v>11.04186</v>
      </c>
      <c r="AN31" s="6">
        <v>10.92853</v>
      </c>
      <c r="AO31" s="6">
        <v>10.81401</v>
      </c>
      <c r="AP31" s="6">
        <v>10.69829</v>
      </c>
      <c r="AQ31" s="6">
        <v>10.58135</v>
      </c>
      <c r="AR31" s="6">
        <v>10.463179999999999</v>
      </c>
      <c r="AS31" s="6">
        <v>10.34375</v>
      </c>
      <c r="AT31" s="6">
        <v>10.22307</v>
      </c>
      <c r="AU31" s="6">
        <v>10.101100000000001</v>
      </c>
      <c r="AV31" s="6">
        <v>9.9778400000000005</v>
      </c>
      <c r="AW31" s="6">
        <v>9.8532600000000006</v>
      </c>
      <c r="AX31" s="6">
        <v>9.7273700000000005</v>
      </c>
      <c r="AY31" s="6">
        <v>9.6001300000000001</v>
      </c>
      <c r="AZ31" s="6">
        <v>9.4715399999999992</v>
      </c>
      <c r="BA31" s="6">
        <v>9.3415800000000004</v>
      </c>
      <c r="BB31" s="6">
        <v>9.2102299999999993</v>
      </c>
      <c r="BC31" s="6">
        <v>9.0775000000000006</v>
      </c>
      <c r="BD31" s="6">
        <v>8.9433500000000006</v>
      </c>
      <c r="BE31" s="6">
        <v>8.8077900000000007</v>
      </c>
      <c r="BF31" s="6">
        <v>8.6707900000000002</v>
      </c>
      <c r="BG31" s="6">
        <v>8.5323600000000006</v>
      </c>
      <c r="BH31" s="6">
        <v>8.3924800000000008</v>
      </c>
      <c r="BI31" s="6">
        <v>8.2511500000000009</v>
      </c>
      <c r="BJ31" s="6">
        <v>8.1083599999999993</v>
      </c>
      <c r="BK31" s="6">
        <v>7.9641099999999998</v>
      </c>
      <c r="BL31" s="6">
        <v>7.81839</v>
      </c>
      <c r="BM31" s="6">
        <v>7.6712100000000003</v>
      </c>
      <c r="BN31" s="6">
        <v>7.5225799999999996</v>
      </c>
      <c r="BO31" s="6">
        <v>7.3724999999999996</v>
      </c>
      <c r="BP31" s="6">
        <v>7.22098</v>
      </c>
      <c r="BQ31" s="6">
        <v>7.0680399999999999</v>
      </c>
      <c r="BR31" s="6">
        <v>6.9137000000000004</v>
      </c>
      <c r="BS31" s="6">
        <v>6.7579799999999999</v>
      </c>
      <c r="BT31" s="6">
        <v>6.6009000000000002</v>
      </c>
      <c r="BU31" s="6">
        <v>6.4425100000000004</v>
      </c>
      <c r="BV31" s="6">
        <v>6.2828499999999998</v>
      </c>
      <c r="BW31" s="6">
        <v>6.1219599999999996</v>
      </c>
      <c r="BX31" s="6">
        <v>5.9599000000000002</v>
      </c>
      <c r="BY31" s="6">
        <v>5.7967300000000002</v>
      </c>
      <c r="BZ31" s="6">
        <v>5.6325200000000004</v>
      </c>
      <c r="CA31" s="6">
        <v>5.4673499999999997</v>
      </c>
      <c r="CB31" s="6">
        <v>5.3013000000000003</v>
      </c>
      <c r="CC31" s="6">
        <v>5.1344900000000004</v>
      </c>
      <c r="CD31" s="6">
        <v>4.9670100000000001</v>
      </c>
      <c r="CE31" s="6">
        <v>4.7989899999999999</v>
      </c>
      <c r="CF31" s="6">
        <v>4.6305699999999996</v>
      </c>
      <c r="CG31" s="6">
        <v>4.4618900000000004</v>
      </c>
      <c r="CH31" s="6">
        <v>4.2931100000000004</v>
      </c>
      <c r="CI31" s="6">
        <v>4.1244300000000003</v>
      </c>
      <c r="CJ31" s="6">
        <v>3.9560499999999998</v>
      </c>
      <c r="CK31" s="6">
        <v>3.7881999999999998</v>
      </c>
      <c r="CL31" s="6">
        <v>3.62113</v>
      </c>
      <c r="CM31" s="6">
        <v>3.45513</v>
      </c>
      <c r="CN31" s="6">
        <v>3.29053</v>
      </c>
      <c r="CO31" s="6">
        <v>3.29053</v>
      </c>
      <c r="CP31" s="6">
        <v>3.1276700000000002</v>
      </c>
      <c r="CQ31" s="6">
        <v>2.96698</v>
      </c>
      <c r="CR31" s="6">
        <v>2.8088899999999999</v>
      </c>
      <c r="CS31" s="6">
        <v>2.6539000000000001</v>
      </c>
      <c r="CT31" s="6">
        <v>2.50257</v>
      </c>
      <c r="CU31" s="6">
        <v>2.3554900000000001</v>
      </c>
      <c r="CV31" s="6">
        <v>2.2132800000000001</v>
      </c>
      <c r="CW31" s="6">
        <v>2.0766100000000001</v>
      </c>
      <c r="CX31" s="6">
        <v>1.94611</v>
      </c>
      <c r="CY31" s="6">
        <v>1.8224100000000001</v>
      </c>
      <c r="CZ31" s="6">
        <v>1.7060299999999999</v>
      </c>
      <c r="DA31" s="6">
        <v>1.59738</v>
      </c>
      <c r="DB31" s="6">
        <v>1.4967299999999999</v>
      </c>
      <c r="DC31" s="6">
        <v>1.4041300000000001</v>
      </c>
      <c r="DD31" s="6">
        <v>1.3194399999999999</v>
      </c>
      <c r="DE31" s="6">
        <v>1.2423500000000001</v>
      </c>
      <c r="DF31" s="6">
        <v>1.1724000000000001</v>
      </c>
      <c r="DG31" s="6">
        <v>1.1090100000000001</v>
      </c>
      <c r="DH31" s="6">
        <v>1.05159</v>
      </c>
      <c r="DI31" s="6">
        <v>0.99950000000000006</v>
      </c>
      <c r="DJ31" s="6">
        <v>0.95215000000000005</v>
      </c>
      <c r="DK31" s="6">
        <v>0.90898999999999996</v>
      </c>
      <c r="DL31" s="6">
        <v>0.86951999999999996</v>
      </c>
      <c r="DM31" s="6">
        <v>0.83331</v>
      </c>
      <c r="DN31" s="6">
        <v>0.79998999999999998</v>
      </c>
      <c r="DO31" s="6">
        <v>0.76922999999999997</v>
      </c>
      <c r="DP31" s="6">
        <v>0.74073999999999995</v>
      </c>
      <c r="DQ31" s="6">
        <v>0.71428999999999998</v>
      </c>
      <c r="DR31" s="6">
        <v>0.68966000000000005</v>
      </c>
      <c r="DS31" s="6">
        <v>0.66666999999999998</v>
      </c>
      <c r="DT31" s="6">
        <v>0.64515999999999996</v>
      </c>
      <c r="DU31" s="6">
        <v>0.625</v>
      </c>
      <c r="DV31" s="6">
        <v>0.60606000000000004</v>
      </c>
      <c r="DW31" s="6">
        <v>0.58823999999999999</v>
      </c>
      <c r="DX31" s="6">
        <v>0.57142999999999999</v>
      </c>
      <c r="DY31" s="6">
        <v>0.55556000000000005</v>
      </c>
      <c r="DZ31" s="6">
        <v>0.54054000000000002</v>
      </c>
      <c r="EA31" s="6">
        <v>0.52632000000000001</v>
      </c>
      <c r="EB31" s="6">
        <v>0.51282000000000005</v>
      </c>
      <c r="EC31" s="6">
        <v>0.5</v>
      </c>
      <c r="ED31" s="6">
        <v>0.48780000000000001</v>
      </c>
      <c r="EE31" s="6">
        <v>0.47619</v>
      </c>
      <c r="EF31" s="6">
        <v>0.46511999999999998</v>
      </c>
      <c r="EG31" s="6">
        <v>0.45455000000000001</v>
      </c>
      <c r="EH31" s="6">
        <v>0.44444</v>
      </c>
      <c r="EI31" s="6">
        <v>0.43478</v>
      </c>
      <c r="EJ31" s="6">
        <v>0.42553000000000002</v>
      </c>
      <c r="EK31" s="6">
        <v>0.41666999999999998</v>
      </c>
      <c r="EL31" s="6">
        <v>0.40816000000000002</v>
      </c>
      <c r="EM31" s="6">
        <v>0.4</v>
      </c>
      <c r="EN31" s="6">
        <v>0.39216000000000001</v>
      </c>
      <c r="EO31" s="6">
        <v>0.38462000000000002</v>
      </c>
      <c r="EP31" s="6">
        <v>0.37735999999999997</v>
      </c>
      <c r="EQ31" s="6">
        <v>0.37036999999999998</v>
      </c>
      <c r="ER31" s="6">
        <v>0.36364000000000002</v>
      </c>
      <c r="ES31" s="6">
        <v>0.35714000000000001</v>
      </c>
      <c r="ET31" s="6">
        <v>0.35088000000000003</v>
      </c>
      <c r="EU31" s="6">
        <v>0.34483000000000003</v>
      </c>
      <c r="EV31" s="6">
        <v>0.33898</v>
      </c>
      <c r="EW31" s="6">
        <v>0.33333000000000002</v>
      </c>
      <c r="EX31" s="6">
        <v>0.32786999999999999</v>
      </c>
      <c r="EY31" s="6">
        <v>0.32257999999999998</v>
      </c>
      <c r="EZ31" s="6">
        <v>0.31746000000000002</v>
      </c>
      <c r="FA31" s="6">
        <v>0.3125</v>
      </c>
      <c r="FB31" s="6">
        <v>0.30769000000000002</v>
      </c>
      <c r="FC31" s="6">
        <v>0.30303000000000002</v>
      </c>
      <c r="FD31" s="6">
        <v>0.29851</v>
      </c>
      <c r="FE31" s="6">
        <v>0.29411999999999999</v>
      </c>
      <c r="FF31" s="6">
        <v>0.28986000000000001</v>
      </c>
      <c r="FG31" s="6">
        <v>0.28571000000000002</v>
      </c>
      <c r="FH31" s="6">
        <v>0.28169</v>
      </c>
      <c r="FI31" s="6">
        <v>0.27778000000000003</v>
      </c>
      <c r="FJ31" s="6">
        <v>0.27396999999999999</v>
      </c>
      <c r="FK31" s="6">
        <v>0.27027000000000001</v>
      </c>
      <c r="FL31" s="6">
        <v>0.26667000000000002</v>
      </c>
      <c r="FM31" s="6">
        <v>0.26316000000000001</v>
      </c>
      <c r="FN31" s="6">
        <v>0.25974000000000003</v>
      </c>
      <c r="FO31" s="6">
        <v>0.25641000000000003</v>
      </c>
      <c r="FP31" s="6">
        <v>0.25316</v>
      </c>
      <c r="FQ31" s="6">
        <v>0.25</v>
      </c>
      <c r="FR31" s="6">
        <v>0.24690999999999999</v>
      </c>
      <c r="FS31" s="6">
        <v>0.24390000000000001</v>
      </c>
      <c r="FT31" s="6">
        <v>0.24096000000000001</v>
      </c>
      <c r="FU31" s="6">
        <v>0.23810000000000001</v>
      </c>
      <c r="FV31" s="6">
        <v>0.23529</v>
      </c>
      <c r="FW31" s="6">
        <v>0.23255999999999999</v>
      </c>
      <c r="FX31" s="6">
        <v>0.22989000000000001</v>
      </c>
      <c r="FY31" s="6">
        <v>0.22727</v>
      </c>
      <c r="FZ31" s="6">
        <v>0.22472</v>
      </c>
      <c r="GA31" s="6">
        <v>0.22222</v>
      </c>
    </row>
    <row r="32" spans="1:183" ht="15" x14ac:dyDescent="0.3">
      <c r="A32" s="10">
        <v>1E-4</v>
      </c>
      <c r="B32" s="6">
        <v>20.533560000000001</v>
      </c>
      <c r="C32" s="6">
        <v>20.394200000000001</v>
      </c>
      <c r="D32" s="6">
        <v>20.254020000000001</v>
      </c>
      <c r="E32" s="6">
        <v>20.113</v>
      </c>
      <c r="F32" s="6">
        <v>19.971150000000002</v>
      </c>
      <c r="G32" s="6">
        <v>19.82845</v>
      </c>
      <c r="H32" s="6">
        <v>19.684889999999999</v>
      </c>
      <c r="I32" s="6">
        <v>19.540459999999999</v>
      </c>
      <c r="J32" s="6">
        <v>19.39517</v>
      </c>
      <c r="K32" s="6">
        <v>19.24898</v>
      </c>
      <c r="L32" s="6">
        <v>19.10191</v>
      </c>
      <c r="M32" s="6">
        <v>18.95393</v>
      </c>
      <c r="N32" s="6">
        <v>18.805040000000002</v>
      </c>
      <c r="O32" s="6">
        <v>18.65522</v>
      </c>
      <c r="P32" s="6">
        <v>18.504470000000001</v>
      </c>
      <c r="Q32" s="6">
        <v>18.352779999999999</v>
      </c>
      <c r="R32" s="6">
        <v>18.200130000000001</v>
      </c>
      <c r="S32" s="6">
        <v>18.046520000000001</v>
      </c>
      <c r="T32" s="6">
        <v>17.891929999999999</v>
      </c>
      <c r="U32" s="6">
        <v>17.736360000000001</v>
      </c>
      <c r="V32" s="6">
        <v>17.579789999999999</v>
      </c>
      <c r="W32" s="6">
        <v>17.42221</v>
      </c>
      <c r="X32" s="6">
        <v>17.26361</v>
      </c>
      <c r="Y32" s="6">
        <v>17.10397</v>
      </c>
      <c r="Z32" s="6">
        <v>16.943290000000001</v>
      </c>
      <c r="AA32" s="6">
        <v>16.781559999999999</v>
      </c>
      <c r="AB32" s="6">
        <v>16.618749999999999</v>
      </c>
      <c r="AC32" s="6">
        <v>16.45487</v>
      </c>
      <c r="AD32" s="6">
        <v>16.28989</v>
      </c>
      <c r="AE32" s="6">
        <v>16.123799999999999</v>
      </c>
      <c r="AF32" s="6">
        <v>15.9566</v>
      </c>
      <c r="AG32" s="6">
        <v>15.788259999999999</v>
      </c>
      <c r="AH32" s="6">
        <v>15.618779999999999</v>
      </c>
      <c r="AI32" s="6">
        <v>15.448130000000001</v>
      </c>
      <c r="AJ32" s="6">
        <v>15.27632</v>
      </c>
      <c r="AK32" s="6">
        <v>15.10332</v>
      </c>
      <c r="AL32" s="6">
        <v>14.929119999999999</v>
      </c>
      <c r="AM32" s="6">
        <v>14.7537</v>
      </c>
      <c r="AN32" s="6">
        <v>14.577059999999999</v>
      </c>
      <c r="AO32" s="6">
        <v>14.399179999999999</v>
      </c>
      <c r="AP32" s="6">
        <v>14.220039999999999</v>
      </c>
      <c r="AQ32" s="6">
        <v>14.039630000000001</v>
      </c>
      <c r="AR32" s="6">
        <v>13.857939999999999</v>
      </c>
      <c r="AS32" s="6">
        <v>13.674950000000001</v>
      </c>
      <c r="AT32" s="6">
        <v>13.49066</v>
      </c>
      <c r="AU32" s="6">
        <v>13.30504</v>
      </c>
      <c r="AV32" s="6">
        <v>13.118080000000001</v>
      </c>
      <c r="AW32" s="6">
        <v>12.92977</v>
      </c>
      <c r="AX32" s="6">
        <v>12.7401</v>
      </c>
      <c r="AY32" s="6">
        <v>12.549060000000001</v>
      </c>
      <c r="AZ32" s="6">
        <v>12.356629999999999</v>
      </c>
      <c r="BA32" s="6">
        <v>12.162800000000001</v>
      </c>
      <c r="BB32" s="6">
        <v>11.96757</v>
      </c>
      <c r="BC32" s="6">
        <v>11.77092</v>
      </c>
      <c r="BD32" s="6">
        <v>11.572839999999999</v>
      </c>
      <c r="BE32" s="6">
        <v>11.373340000000001</v>
      </c>
      <c r="BF32" s="6">
        <v>11.17239</v>
      </c>
      <c r="BG32" s="6">
        <v>10.97001</v>
      </c>
      <c r="BH32" s="6">
        <v>10.76618</v>
      </c>
      <c r="BI32" s="6">
        <v>10.5609</v>
      </c>
      <c r="BJ32" s="6">
        <v>10.354179999999999</v>
      </c>
      <c r="BK32" s="6">
        <v>10.14602</v>
      </c>
      <c r="BL32" s="6">
        <v>9.9364299999999997</v>
      </c>
      <c r="BM32" s="6">
        <v>9.7254299999999994</v>
      </c>
      <c r="BN32" s="6">
        <v>9.5130099999999995</v>
      </c>
      <c r="BO32" s="6">
        <v>9.2992000000000008</v>
      </c>
      <c r="BP32" s="6">
        <v>9.0840300000000003</v>
      </c>
      <c r="BQ32" s="6">
        <v>8.8675300000000004</v>
      </c>
      <c r="BR32" s="6">
        <v>8.6497100000000007</v>
      </c>
      <c r="BS32" s="6">
        <v>8.4306400000000004</v>
      </c>
      <c r="BT32" s="6">
        <v>8.2103400000000004</v>
      </c>
      <c r="BU32" s="6">
        <v>7.98888</v>
      </c>
      <c r="BV32" s="6">
        <v>7.7663200000000003</v>
      </c>
      <c r="BW32" s="6">
        <v>7.5427200000000001</v>
      </c>
      <c r="BX32" s="6">
        <v>7.3181799999999999</v>
      </c>
      <c r="BY32" s="6">
        <v>7.0927699999999998</v>
      </c>
      <c r="BZ32" s="6">
        <v>6.8666099999999997</v>
      </c>
      <c r="CA32" s="6">
        <v>6.6398000000000001</v>
      </c>
      <c r="CB32" s="6">
        <v>6.41249</v>
      </c>
      <c r="CC32" s="6">
        <v>6.1848000000000001</v>
      </c>
      <c r="CD32" s="6">
        <v>5.9569099999999997</v>
      </c>
      <c r="CE32" s="6">
        <v>5.7289899999999996</v>
      </c>
      <c r="CF32" s="6">
        <v>5.5012400000000001</v>
      </c>
      <c r="CG32" s="6">
        <v>5.2738899999999997</v>
      </c>
      <c r="CH32" s="6">
        <v>5.04718</v>
      </c>
      <c r="CI32" s="6">
        <v>4.8214100000000002</v>
      </c>
      <c r="CJ32" s="6">
        <v>4.59687</v>
      </c>
      <c r="CK32" s="6">
        <v>4.3739400000000002</v>
      </c>
      <c r="CL32" s="6">
        <v>4.1530100000000001</v>
      </c>
      <c r="CM32" s="6">
        <v>3.9345300000000001</v>
      </c>
      <c r="CN32" s="6">
        <v>3.71902</v>
      </c>
      <c r="CO32" s="6">
        <v>3.71902</v>
      </c>
      <c r="CP32" s="6">
        <v>3.5070299999999999</v>
      </c>
      <c r="CQ32" s="6">
        <v>3.29921</v>
      </c>
      <c r="CR32" s="6">
        <v>3.0963099999999999</v>
      </c>
      <c r="CS32" s="6">
        <v>2.89907</v>
      </c>
      <c r="CT32" s="6">
        <v>2.7083599999999999</v>
      </c>
      <c r="CU32" s="6">
        <v>2.5250699999999999</v>
      </c>
      <c r="CV32" s="6">
        <v>2.3501500000000002</v>
      </c>
      <c r="CW32" s="6">
        <v>2.1844800000000002</v>
      </c>
      <c r="CX32" s="6">
        <v>2.0289100000000002</v>
      </c>
      <c r="CY32" s="6">
        <v>1.8841000000000001</v>
      </c>
      <c r="CZ32" s="6">
        <v>1.7505299999999999</v>
      </c>
      <c r="DA32" s="6">
        <v>1.6283799999999999</v>
      </c>
      <c r="DB32" s="6">
        <v>1.51752</v>
      </c>
      <c r="DC32" s="6">
        <v>1.41753</v>
      </c>
      <c r="DD32" s="6">
        <v>1.3277399999999999</v>
      </c>
      <c r="DE32" s="6">
        <v>1.2472799999999999</v>
      </c>
      <c r="DF32" s="6">
        <v>1.1752</v>
      </c>
      <c r="DG32" s="6">
        <v>1.1105400000000001</v>
      </c>
      <c r="DH32" s="6">
        <v>1.0523899999999999</v>
      </c>
      <c r="DI32" s="6">
        <v>0.99990000000000001</v>
      </c>
      <c r="DJ32" s="6">
        <v>0.95233999999999996</v>
      </c>
      <c r="DK32" s="6">
        <v>0.90908</v>
      </c>
      <c r="DL32" s="6">
        <v>0.86956</v>
      </c>
      <c r="DM32" s="6">
        <v>0.83333000000000002</v>
      </c>
      <c r="DN32" s="6">
        <v>0.8</v>
      </c>
      <c r="DO32" s="6">
        <v>0.76922999999999997</v>
      </c>
      <c r="DP32" s="6">
        <v>0.74073999999999995</v>
      </c>
      <c r="DQ32" s="6">
        <v>0.71428999999999998</v>
      </c>
      <c r="DR32" s="6">
        <v>0.68966000000000005</v>
      </c>
      <c r="DS32" s="6">
        <v>0.66666999999999998</v>
      </c>
      <c r="DT32" s="6">
        <v>0.64515999999999996</v>
      </c>
      <c r="DU32" s="6">
        <v>0.625</v>
      </c>
      <c r="DV32" s="6">
        <v>0.60606000000000004</v>
      </c>
      <c r="DW32" s="6">
        <v>0.58823999999999999</v>
      </c>
      <c r="DX32" s="6">
        <v>0.57142999999999999</v>
      </c>
      <c r="DY32" s="6">
        <v>0.55556000000000005</v>
      </c>
      <c r="DZ32" s="6">
        <v>0.54054000000000002</v>
      </c>
      <c r="EA32" s="6">
        <v>0.52632000000000001</v>
      </c>
      <c r="EB32" s="6">
        <v>0.51282000000000005</v>
      </c>
      <c r="EC32" s="6">
        <v>0.5</v>
      </c>
      <c r="ED32" s="6">
        <v>0.48780000000000001</v>
      </c>
      <c r="EE32" s="6">
        <v>0.47619</v>
      </c>
      <c r="EF32" s="6">
        <v>0.46511999999999998</v>
      </c>
      <c r="EG32" s="6">
        <v>0.45455000000000001</v>
      </c>
      <c r="EH32" s="6">
        <v>0.44444</v>
      </c>
      <c r="EI32" s="6">
        <v>0.43478</v>
      </c>
      <c r="EJ32" s="6">
        <v>0.42553000000000002</v>
      </c>
      <c r="EK32" s="6">
        <v>0.41666999999999998</v>
      </c>
      <c r="EL32" s="6">
        <v>0.40816000000000002</v>
      </c>
      <c r="EM32" s="6">
        <v>0.4</v>
      </c>
      <c r="EN32" s="6">
        <v>0.39216000000000001</v>
      </c>
      <c r="EO32" s="6">
        <v>0.38462000000000002</v>
      </c>
      <c r="EP32" s="6">
        <v>0.37735999999999997</v>
      </c>
      <c r="EQ32" s="6">
        <v>0.37036999999999998</v>
      </c>
      <c r="ER32" s="6">
        <v>0.36364000000000002</v>
      </c>
      <c r="ES32" s="6">
        <v>0.35714000000000001</v>
      </c>
      <c r="ET32" s="6">
        <v>0.35088000000000003</v>
      </c>
      <c r="EU32" s="6">
        <v>0.34483000000000003</v>
      </c>
      <c r="EV32" s="6">
        <v>0.33898</v>
      </c>
      <c r="EW32" s="6">
        <v>0.33333000000000002</v>
      </c>
      <c r="EX32" s="6">
        <v>0.32786999999999999</v>
      </c>
      <c r="EY32" s="6">
        <v>0.32257999999999998</v>
      </c>
      <c r="EZ32" s="6">
        <v>0.31746000000000002</v>
      </c>
      <c r="FA32" s="6">
        <v>0.3125</v>
      </c>
      <c r="FB32" s="6">
        <v>0.30769000000000002</v>
      </c>
      <c r="FC32" s="6">
        <v>0.30303000000000002</v>
      </c>
      <c r="FD32" s="6">
        <v>0.29851</v>
      </c>
      <c r="FE32" s="6">
        <v>0.29411999999999999</v>
      </c>
      <c r="FF32" s="6">
        <v>0.28986000000000001</v>
      </c>
      <c r="FG32" s="6">
        <v>0.28571000000000002</v>
      </c>
      <c r="FH32" s="6">
        <v>0.28169</v>
      </c>
      <c r="FI32" s="6">
        <v>0.27778000000000003</v>
      </c>
      <c r="FJ32" s="6">
        <v>0.27396999999999999</v>
      </c>
      <c r="FK32" s="6">
        <v>0.27027000000000001</v>
      </c>
      <c r="FL32" s="6">
        <v>0.26667000000000002</v>
      </c>
      <c r="FM32" s="6">
        <v>0.26316000000000001</v>
      </c>
      <c r="FN32" s="6">
        <v>0.25974000000000003</v>
      </c>
      <c r="FO32" s="6">
        <v>0.25641000000000003</v>
      </c>
      <c r="FP32" s="6">
        <v>0.25316</v>
      </c>
      <c r="FQ32" s="6">
        <v>0.25</v>
      </c>
      <c r="FR32" s="6">
        <v>0.24690999999999999</v>
      </c>
      <c r="FS32" s="6">
        <v>0.24390000000000001</v>
      </c>
      <c r="FT32" s="6">
        <v>0.24096000000000001</v>
      </c>
      <c r="FU32" s="6">
        <v>0.23810000000000001</v>
      </c>
      <c r="FV32" s="6">
        <v>0.23529</v>
      </c>
      <c r="FW32" s="6">
        <v>0.23255999999999999</v>
      </c>
      <c r="FX32" s="6">
        <v>0.22989000000000001</v>
      </c>
      <c r="FY32" s="6">
        <v>0.22727</v>
      </c>
      <c r="FZ32" s="6">
        <v>0.22472</v>
      </c>
      <c r="GA32" s="6">
        <v>0.22222</v>
      </c>
    </row>
    <row r="34" spans="1:95" x14ac:dyDescent="0.25">
      <c r="B34" t="s">
        <v>65</v>
      </c>
      <c r="CP34" s="2"/>
    </row>
    <row r="35" spans="1:95" x14ac:dyDescent="0.25">
      <c r="A35" s="1" t="s">
        <v>63</v>
      </c>
      <c r="B35" s="1" t="s">
        <v>64</v>
      </c>
      <c r="CP35" s="2"/>
    </row>
    <row r="36" spans="1:95" x14ac:dyDescent="0.25">
      <c r="A36">
        <v>10</v>
      </c>
      <c r="B36" s="3">
        <v>2.036</v>
      </c>
      <c r="CP36" s="2"/>
    </row>
    <row r="37" spans="1:95" x14ac:dyDescent="0.25">
      <c r="A37">
        <v>11</v>
      </c>
      <c r="B37" s="3">
        <v>2.0880000000000001</v>
      </c>
      <c r="CP37" s="2"/>
    </row>
    <row r="38" spans="1:95" x14ac:dyDescent="0.25">
      <c r="A38">
        <v>12</v>
      </c>
      <c r="B38" s="3">
        <v>2.1339999999999999</v>
      </c>
      <c r="CP38" s="2"/>
    </row>
    <row r="39" spans="1:95" x14ac:dyDescent="0.25">
      <c r="A39">
        <v>13</v>
      </c>
      <c r="B39" s="3">
        <v>2.1749999999999998</v>
      </c>
      <c r="CP39" s="2"/>
    </row>
    <row r="40" spans="1:95" x14ac:dyDescent="0.25">
      <c r="A40">
        <v>14</v>
      </c>
      <c r="B40" s="3">
        <v>2.2130000000000001</v>
      </c>
      <c r="CP40" s="2"/>
    </row>
    <row r="41" spans="1:95" x14ac:dyDescent="0.25">
      <c r="A41">
        <v>15</v>
      </c>
      <c r="B41" s="3">
        <v>2.2469999999999999</v>
      </c>
      <c r="CP41" s="2"/>
    </row>
    <row r="42" spans="1:95" x14ac:dyDescent="0.25">
      <c r="A42">
        <v>16</v>
      </c>
      <c r="B42" s="3">
        <v>2.2789999999999999</v>
      </c>
      <c r="CP42" s="2"/>
    </row>
    <row r="43" spans="1:95" x14ac:dyDescent="0.25">
      <c r="A43">
        <v>17</v>
      </c>
      <c r="B43" s="3">
        <v>2.3090000000000002</v>
      </c>
      <c r="CP43" s="2"/>
    </row>
    <row r="44" spans="1:95" x14ac:dyDescent="0.25">
      <c r="A44">
        <v>18</v>
      </c>
      <c r="B44" s="3">
        <v>2.335</v>
      </c>
      <c r="CP44" s="2"/>
    </row>
    <row r="45" spans="1:95" x14ac:dyDescent="0.25">
      <c r="A45">
        <v>19</v>
      </c>
      <c r="B45" s="3">
        <v>2.3610000000000002</v>
      </c>
      <c r="CP45" s="2"/>
    </row>
    <row r="46" spans="1:95" x14ac:dyDescent="0.25">
      <c r="A46">
        <v>20</v>
      </c>
      <c r="B46" s="3">
        <v>2.3849999999999998</v>
      </c>
      <c r="CP46" s="2"/>
    </row>
    <row r="47" spans="1:95" x14ac:dyDescent="0.25">
      <c r="A47">
        <v>21</v>
      </c>
      <c r="B47" s="3">
        <v>2.4079999999999999</v>
      </c>
      <c r="CP47" s="2"/>
    </row>
    <row r="48" spans="1:95" x14ac:dyDescent="0.25">
      <c r="A48">
        <v>22</v>
      </c>
      <c r="B48" s="3">
        <v>2.4289999999999998</v>
      </c>
      <c r="CP48" s="2"/>
      <c r="CQ48" s="6"/>
    </row>
    <row r="49" spans="1:94" x14ac:dyDescent="0.25">
      <c r="A49">
        <v>23</v>
      </c>
      <c r="B49" s="3">
        <v>2.448</v>
      </c>
      <c r="CP49" s="2"/>
    </row>
    <row r="50" spans="1:94" x14ac:dyDescent="0.25">
      <c r="A50">
        <v>24</v>
      </c>
      <c r="B50" s="3">
        <v>2.4670000000000001</v>
      </c>
      <c r="CP50" s="2"/>
    </row>
    <row r="51" spans="1:94" x14ac:dyDescent="0.25">
      <c r="A51">
        <v>25</v>
      </c>
      <c r="B51" s="3">
        <v>2.4860000000000002</v>
      </c>
      <c r="CO51" s="2"/>
      <c r="CP51" s="2"/>
    </row>
    <row r="52" spans="1:94" x14ac:dyDescent="0.25">
      <c r="A52">
        <v>26</v>
      </c>
      <c r="B52" s="3">
        <v>2.5019999999999998</v>
      </c>
    </row>
    <row r="53" spans="1:94" x14ac:dyDescent="0.25">
      <c r="A53">
        <v>27</v>
      </c>
      <c r="B53" s="3">
        <v>2.5190000000000001</v>
      </c>
    </row>
    <row r="54" spans="1:94" x14ac:dyDescent="0.25">
      <c r="A54">
        <v>28</v>
      </c>
      <c r="B54" s="3">
        <v>2.5339999999999998</v>
      </c>
    </row>
    <row r="55" spans="1:94" x14ac:dyDescent="0.25">
      <c r="A55">
        <v>29</v>
      </c>
      <c r="B55" s="3">
        <v>2.5489999999999999</v>
      </c>
    </row>
    <row r="56" spans="1:94" x14ac:dyDescent="0.25">
      <c r="A56">
        <v>30</v>
      </c>
      <c r="B56" s="3">
        <v>2.5630000000000002</v>
      </c>
    </row>
    <row r="57" spans="1:94" x14ac:dyDescent="0.25">
      <c r="A57">
        <v>31</v>
      </c>
      <c r="B57" s="3">
        <v>2.577</v>
      </c>
    </row>
    <row r="58" spans="1:94" x14ac:dyDescent="0.25">
      <c r="A58">
        <v>32</v>
      </c>
      <c r="B58" s="3">
        <v>2.5910000000000002</v>
      </c>
    </row>
    <row r="59" spans="1:94" x14ac:dyDescent="0.25">
      <c r="A59">
        <v>33</v>
      </c>
      <c r="B59" s="3">
        <v>2.6040000000000001</v>
      </c>
    </row>
    <row r="60" spans="1:94" x14ac:dyDescent="0.25">
      <c r="A60">
        <v>34</v>
      </c>
      <c r="B60" s="3">
        <v>2.6160000000000001</v>
      </c>
    </row>
    <row r="61" spans="1:94" x14ac:dyDescent="0.25">
      <c r="A61">
        <v>35</v>
      </c>
      <c r="B61" s="3">
        <v>2.6280000000000001</v>
      </c>
    </row>
    <row r="62" spans="1:94" x14ac:dyDescent="0.25">
      <c r="A62">
        <v>36</v>
      </c>
      <c r="B62" s="3">
        <v>2.6389999999999998</v>
      </c>
    </row>
    <row r="63" spans="1:94" x14ac:dyDescent="0.25">
      <c r="A63">
        <v>37</v>
      </c>
      <c r="B63" s="3">
        <v>2.65</v>
      </c>
    </row>
    <row r="64" spans="1:94" x14ac:dyDescent="0.25">
      <c r="A64">
        <v>38</v>
      </c>
      <c r="B64" s="3">
        <v>2.661</v>
      </c>
    </row>
    <row r="65" spans="1:2" x14ac:dyDescent="0.25">
      <c r="A65">
        <v>39</v>
      </c>
      <c r="B65" s="3">
        <v>2.6709999999999998</v>
      </c>
    </row>
    <row r="66" spans="1:2" x14ac:dyDescent="0.25">
      <c r="A66">
        <v>40</v>
      </c>
      <c r="B66" s="3">
        <v>2.6819999999999999</v>
      </c>
    </row>
    <row r="67" spans="1:2" x14ac:dyDescent="0.25">
      <c r="A67">
        <v>41</v>
      </c>
      <c r="B67" s="3">
        <v>2.6920000000000002</v>
      </c>
    </row>
    <row r="68" spans="1:2" x14ac:dyDescent="0.25">
      <c r="A68">
        <v>42</v>
      </c>
      <c r="B68" s="3">
        <v>2.7</v>
      </c>
    </row>
    <row r="69" spans="1:2" x14ac:dyDescent="0.25">
      <c r="A69">
        <v>43</v>
      </c>
      <c r="B69" s="3">
        <v>2.71</v>
      </c>
    </row>
    <row r="70" spans="1:2" x14ac:dyDescent="0.25">
      <c r="A70">
        <v>44</v>
      </c>
      <c r="B70" s="3">
        <v>2.7189999999999999</v>
      </c>
    </row>
    <row r="71" spans="1:2" x14ac:dyDescent="0.25">
      <c r="A71">
        <v>45</v>
      </c>
      <c r="B71" s="3">
        <v>2.7269999999999999</v>
      </c>
    </row>
    <row r="72" spans="1:2" x14ac:dyDescent="0.25">
      <c r="A72">
        <v>46</v>
      </c>
      <c r="B72" s="3">
        <v>2.7360000000000002</v>
      </c>
    </row>
    <row r="73" spans="1:2" x14ac:dyDescent="0.25">
      <c r="A73">
        <v>47</v>
      </c>
      <c r="B73" s="3">
        <v>2.7440000000000002</v>
      </c>
    </row>
    <row r="74" spans="1:2" x14ac:dyDescent="0.25">
      <c r="A74">
        <v>48</v>
      </c>
      <c r="B74" s="3">
        <v>2.7530000000000001</v>
      </c>
    </row>
    <row r="75" spans="1:2" x14ac:dyDescent="0.25">
      <c r="A75">
        <v>49</v>
      </c>
      <c r="B75" s="3">
        <v>2.76</v>
      </c>
    </row>
    <row r="76" spans="1:2" x14ac:dyDescent="0.25">
      <c r="A76">
        <v>50</v>
      </c>
      <c r="B76" s="3">
        <v>2.7679999999999998</v>
      </c>
    </row>
    <row r="77" spans="1:2" x14ac:dyDescent="0.25">
      <c r="A77">
        <v>51</v>
      </c>
      <c r="B77" s="3">
        <v>2.7749999999999999</v>
      </c>
    </row>
    <row r="78" spans="1:2" x14ac:dyDescent="0.25">
      <c r="A78">
        <v>52</v>
      </c>
      <c r="B78" s="3">
        <v>2.7829999999999999</v>
      </c>
    </row>
    <row r="79" spans="1:2" x14ac:dyDescent="0.25">
      <c r="A79">
        <v>53</v>
      </c>
      <c r="B79" s="3">
        <v>2.79</v>
      </c>
    </row>
    <row r="80" spans="1:2" x14ac:dyDescent="0.25">
      <c r="A80">
        <v>54</v>
      </c>
      <c r="B80" s="3">
        <v>2.798</v>
      </c>
    </row>
    <row r="81" spans="1:2" x14ac:dyDescent="0.25">
      <c r="A81">
        <v>55</v>
      </c>
      <c r="B81" s="3">
        <v>2.8039999999999998</v>
      </c>
    </row>
    <row r="82" spans="1:2" x14ac:dyDescent="0.25">
      <c r="A82">
        <v>56</v>
      </c>
      <c r="B82" s="3">
        <v>2.8109999999999999</v>
      </c>
    </row>
    <row r="83" spans="1:2" x14ac:dyDescent="0.25">
      <c r="A83">
        <v>57</v>
      </c>
      <c r="B83" s="3">
        <v>2.8180000000000001</v>
      </c>
    </row>
    <row r="84" spans="1:2" x14ac:dyDescent="0.25">
      <c r="A84">
        <v>58</v>
      </c>
      <c r="B84" s="3">
        <v>2.8239999999999998</v>
      </c>
    </row>
    <row r="85" spans="1:2" x14ac:dyDescent="0.25">
      <c r="A85">
        <v>59</v>
      </c>
      <c r="B85" s="3">
        <v>2.831</v>
      </c>
    </row>
    <row r="86" spans="1:2" x14ac:dyDescent="0.25">
      <c r="A86">
        <v>60</v>
      </c>
      <c r="B86" s="3">
        <v>2.8370000000000002</v>
      </c>
    </row>
    <row r="87" spans="1:2" x14ac:dyDescent="0.25">
      <c r="A87">
        <v>61</v>
      </c>
      <c r="B87" s="3">
        <v>2.8420000000000001</v>
      </c>
    </row>
    <row r="88" spans="1:2" x14ac:dyDescent="0.25">
      <c r="A88">
        <v>62</v>
      </c>
      <c r="B88" s="3">
        <v>2.8490000000000002</v>
      </c>
    </row>
    <row r="89" spans="1:2" x14ac:dyDescent="0.25">
      <c r="A89">
        <v>63</v>
      </c>
      <c r="B89" s="3">
        <v>2.8540000000000001</v>
      </c>
    </row>
    <row r="90" spans="1:2" x14ac:dyDescent="0.25">
      <c r="A90">
        <v>64</v>
      </c>
      <c r="B90" s="3">
        <v>2.86</v>
      </c>
    </row>
    <row r="91" spans="1:2" x14ac:dyDescent="0.25">
      <c r="A91">
        <v>65</v>
      </c>
      <c r="B91" s="3">
        <v>2.8660000000000001</v>
      </c>
    </row>
    <row r="92" spans="1:2" x14ac:dyDescent="0.25">
      <c r="A92">
        <v>66</v>
      </c>
      <c r="B92" s="3">
        <v>2.871</v>
      </c>
    </row>
    <row r="93" spans="1:2" x14ac:dyDescent="0.25">
      <c r="A93">
        <v>67</v>
      </c>
      <c r="B93" s="3">
        <v>2.8769999999999998</v>
      </c>
    </row>
    <row r="94" spans="1:2" x14ac:dyDescent="0.25">
      <c r="A94">
        <v>68</v>
      </c>
      <c r="B94" s="3">
        <v>2.883</v>
      </c>
    </row>
    <row r="95" spans="1:2" x14ac:dyDescent="0.25">
      <c r="A95">
        <v>69</v>
      </c>
      <c r="B95" s="3">
        <v>2.8879999999999999</v>
      </c>
    </row>
    <row r="96" spans="1:2" x14ac:dyDescent="0.25">
      <c r="A96">
        <v>70</v>
      </c>
      <c r="B96" s="3">
        <v>2.8929999999999998</v>
      </c>
    </row>
    <row r="97" spans="1:2" x14ac:dyDescent="0.25">
      <c r="A97">
        <v>71</v>
      </c>
      <c r="B97" s="3">
        <v>2.8969999999999998</v>
      </c>
    </row>
    <row r="98" spans="1:2" x14ac:dyDescent="0.25">
      <c r="A98">
        <v>72</v>
      </c>
      <c r="B98" s="3">
        <v>2.903</v>
      </c>
    </row>
    <row r="99" spans="1:2" x14ac:dyDescent="0.25">
      <c r="A99">
        <v>73</v>
      </c>
      <c r="B99" s="3">
        <v>2.9079999999999999</v>
      </c>
    </row>
    <row r="100" spans="1:2" x14ac:dyDescent="0.25">
      <c r="A100">
        <v>74</v>
      </c>
      <c r="B100" s="3">
        <v>2.9119999999999999</v>
      </c>
    </row>
    <row r="101" spans="1:2" x14ac:dyDescent="0.25">
      <c r="A101">
        <v>75</v>
      </c>
      <c r="B101" s="3">
        <v>2.9169999999999998</v>
      </c>
    </row>
    <row r="102" spans="1:2" x14ac:dyDescent="0.25">
      <c r="A102">
        <v>76</v>
      </c>
      <c r="B102" s="3">
        <v>2.9220000000000002</v>
      </c>
    </row>
    <row r="103" spans="1:2" x14ac:dyDescent="0.25">
      <c r="A103">
        <v>77</v>
      </c>
      <c r="B103" s="3">
        <v>2.927</v>
      </c>
    </row>
    <row r="104" spans="1:2" x14ac:dyDescent="0.25">
      <c r="A104">
        <v>78</v>
      </c>
      <c r="B104" s="3">
        <v>2.931</v>
      </c>
    </row>
    <row r="105" spans="1:2" x14ac:dyDescent="0.25">
      <c r="A105">
        <v>79</v>
      </c>
      <c r="B105" s="3">
        <v>2.9350000000000001</v>
      </c>
    </row>
    <row r="106" spans="1:2" x14ac:dyDescent="0.25">
      <c r="A106">
        <v>80</v>
      </c>
      <c r="B106" s="3">
        <v>2.94</v>
      </c>
    </row>
    <row r="107" spans="1:2" x14ac:dyDescent="0.25">
      <c r="A107">
        <v>81</v>
      </c>
      <c r="B107" s="3">
        <v>2.9449999999999998</v>
      </c>
    </row>
    <row r="108" spans="1:2" x14ac:dyDescent="0.25">
      <c r="A108">
        <v>82</v>
      </c>
      <c r="B108" s="3">
        <v>2.9489999999999998</v>
      </c>
    </row>
    <row r="109" spans="1:2" x14ac:dyDescent="0.25">
      <c r="A109">
        <v>83</v>
      </c>
      <c r="B109" s="3">
        <v>2.9529999999999998</v>
      </c>
    </row>
    <row r="110" spans="1:2" x14ac:dyDescent="0.25">
      <c r="A110">
        <v>84</v>
      </c>
      <c r="B110" s="3">
        <v>2.9569999999999999</v>
      </c>
    </row>
    <row r="111" spans="1:2" x14ac:dyDescent="0.25">
      <c r="A111">
        <v>85</v>
      </c>
      <c r="B111" s="3">
        <v>2.9609999999999999</v>
      </c>
    </row>
    <row r="112" spans="1:2" x14ac:dyDescent="0.25">
      <c r="A112">
        <v>86</v>
      </c>
      <c r="B112" s="3">
        <v>2.9660000000000002</v>
      </c>
    </row>
    <row r="113" spans="1:2" x14ac:dyDescent="0.25">
      <c r="A113">
        <v>87</v>
      </c>
      <c r="B113" s="3">
        <v>2.97</v>
      </c>
    </row>
    <row r="114" spans="1:2" x14ac:dyDescent="0.25">
      <c r="A114">
        <v>88</v>
      </c>
      <c r="B114" s="3">
        <v>2.9729999999999999</v>
      </c>
    </row>
    <row r="115" spans="1:2" x14ac:dyDescent="0.25">
      <c r="A115">
        <v>89</v>
      </c>
      <c r="B115" s="3">
        <v>2.9769999999999999</v>
      </c>
    </row>
    <row r="116" spans="1:2" x14ac:dyDescent="0.25">
      <c r="A116">
        <v>90</v>
      </c>
      <c r="B116" s="3">
        <v>2.9809999999999999</v>
      </c>
    </row>
    <row r="117" spans="1:2" x14ac:dyDescent="0.25">
      <c r="A117">
        <v>91</v>
      </c>
      <c r="B117" s="3">
        <v>2.984</v>
      </c>
    </row>
    <row r="118" spans="1:2" x14ac:dyDescent="0.25">
      <c r="A118">
        <v>92</v>
      </c>
      <c r="B118" s="3">
        <v>2.9889999999999999</v>
      </c>
    </row>
    <row r="119" spans="1:2" x14ac:dyDescent="0.25">
      <c r="A119">
        <v>93</v>
      </c>
      <c r="B119" s="3">
        <v>2.9929999999999999</v>
      </c>
    </row>
    <row r="120" spans="1:2" x14ac:dyDescent="0.25">
      <c r="A120">
        <v>94</v>
      </c>
      <c r="B120" s="3">
        <v>2.996</v>
      </c>
    </row>
    <row r="121" spans="1:2" x14ac:dyDescent="0.25">
      <c r="A121">
        <v>95</v>
      </c>
      <c r="B121" s="3">
        <v>3</v>
      </c>
    </row>
    <row r="122" spans="1:2" x14ac:dyDescent="0.25">
      <c r="A122">
        <v>96</v>
      </c>
      <c r="B122" s="3">
        <v>3.0030000000000001</v>
      </c>
    </row>
    <row r="123" spans="1:2" x14ac:dyDescent="0.25">
      <c r="A123">
        <v>97</v>
      </c>
      <c r="B123" s="3">
        <v>3.0059999999999998</v>
      </c>
    </row>
    <row r="124" spans="1:2" x14ac:dyDescent="0.25">
      <c r="A124">
        <v>98</v>
      </c>
      <c r="B124" s="3">
        <v>3.0110000000000001</v>
      </c>
    </row>
    <row r="125" spans="1:2" x14ac:dyDescent="0.25">
      <c r="A125">
        <v>99</v>
      </c>
      <c r="B125" s="3">
        <v>3.0139999999999998</v>
      </c>
    </row>
    <row r="126" spans="1:2" x14ac:dyDescent="0.25">
      <c r="A126">
        <v>100</v>
      </c>
      <c r="B126" s="3">
        <v>3.0169999999999999</v>
      </c>
    </row>
    <row r="127" spans="1:2" x14ac:dyDescent="0.25">
      <c r="A127">
        <v>101</v>
      </c>
      <c r="B127" s="3">
        <v>3.0209999999999999</v>
      </c>
    </row>
    <row r="128" spans="1:2" x14ac:dyDescent="0.25">
      <c r="A128">
        <v>102</v>
      </c>
      <c r="B128" s="3">
        <v>3.024</v>
      </c>
    </row>
    <row r="129" spans="1:2" x14ac:dyDescent="0.25">
      <c r="A129">
        <v>103</v>
      </c>
      <c r="B129" s="3">
        <v>3.0270000000000001</v>
      </c>
    </row>
    <row r="130" spans="1:2" x14ac:dyDescent="0.25">
      <c r="A130">
        <v>104</v>
      </c>
      <c r="B130" s="3">
        <v>3.03</v>
      </c>
    </row>
    <row r="131" spans="1:2" x14ac:dyDescent="0.25">
      <c r="A131">
        <v>105</v>
      </c>
      <c r="B131" s="3">
        <v>3.0329999999999999</v>
      </c>
    </row>
    <row r="132" spans="1:2" x14ac:dyDescent="0.25">
      <c r="A132">
        <v>106</v>
      </c>
      <c r="B132" s="3">
        <v>3.0369999999999999</v>
      </c>
    </row>
    <row r="133" spans="1:2" x14ac:dyDescent="0.25">
      <c r="A133">
        <v>107</v>
      </c>
      <c r="B133" s="3">
        <v>3.04</v>
      </c>
    </row>
    <row r="134" spans="1:2" x14ac:dyDescent="0.25">
      <c r="A134">
        <v>108</v>
      </c>
      <c r="B134" s="3">
        <v>3.0430000000000001</v>
      </c>
    </row>
    <row r="135" spans="1:2" x14ac:dyDescent="0.25">
      <c r="A135">
        <v>109</v>
      </c>
      <c r="B135" s="3">
        <v>3.0459999999999998</v>
      </c>
    </row>
    <row r="136" spans="1:2" x14ac:dyDescent="0.25">
      <c r="A136">
        <v>110</v>
      </c>
      <c r="B136" s="3">
        <v>3.0489999999999999</v>
      </c>
    </row>
    <row r="137" spans="1:2" x14ac:dyDescent="0.25">
      <c r="A137">
        <v>111</v>
      </c>
      <c r="B137" s="3">
        <v>3.052</v>
      </c>
    </row>
    <row r="138" spans="1:2" x14ac:dyDescent="0.25">
      <c r="A138">
        <v>112</v>
      </c>
      <c r="B138" s="3">
        <v>3.0550000000000002</v>
      </c>
    </row>
    <row r="139" spans="1:2" x14ac:dyDescent="0.25">
      <c r="A139">
        <v>113</v>
      </c>
      <c r="B139" s="3">
        <v>3.0579999999999998</v>
      </c>
    </row>
    <row r="140" spans="1:2" x14ac:dyDescent="0.25">
      <c r="A140">
        <v>114</v>
      </c>
      <c r="B140" s="3">
        <v>3.0609999999999999</v>
      </c>
    </row>
    <row r="141" spans="1:2" x14ac:dyDescent="0.25">
      <c r="A141">
        <v>115</v>
      </c>
      <c r="B141" s="3">
        <v>3.0640000000000001</v>
      </c>
    </row>
    <row r="142" spans="1:2" x14ac:dyDescent="0.25">
      <c r="A142">
        <v>116</v>
      </c>
      <c r="B142" s="3">
        <v>3.0670000000000002</v>
      </c>
    </row>
    <row r="143" spans="1:2" x14ac:dyDescent="0.25">
      <c r="A143">
        <v>117</v>
      </c>
      <c r="B143" s="3">
        <v>3.07</v>
      </c>
    </row>
    <row r="144" spans="1:2" x14ac:dyDescent="0.25">
      <c r="A144">
        <v>118</v>
      </c>
      <c r="B144" s="3">
        <v>3.073</v>
      </c>
    </row>
    <row r="145" spans="1:2" x14ac:dyDescent="0.25">
      <c r="A145">
        <v>119</v>
      </c>
      <c r="B145" s="3">
        <v>3.0750000000000002</v>
      </c>
    </row>
    <row r="146" spans="1:2" x14ac:dyDescent="0.25">
      <c r="A146">
        <v>120</v>
      </c>
      <c r="B146" s="3">
        <v>3.0779999999999998</v>
      </c>
    </row>
    <row r="147" spans="1:2" x14ac:dyDescent="0.25">
      <c r="A147">
        <v>121</v>
      </c>
      <c r="B147" s="3">
        <v>3.081</v>
      </c>
    </row>
    <row r="148" spans="1:2" x14ac:dyDescent="0.25">
      <c r="A148">
        <v>122</v>
      </c>
      <c r="B148" s="3">
        <v>3.0830000000000002</v>
      </c>
    </row>
    <row r="149" spans="1:2" x14ac:dyDescent="0.25">
      <c r="A149">
        <v>123</v>
      </c>
      <c r="B149" s="3">
        <v>3.0859999999999999</v>
      </c>
    </row>
    <row r="150" spans="1:2" x14ac:dyDescent="0.25">
      <c r="A150">
        <v>124</v>
      </c>
      <c r="B150" s="3">
        <v>3.089</v>
      </c>
    </row>
    <row r="151" spans="1:2" x14ac:dyDescent="0.25">
      <c r="A151">
        <v>125</v>
      </c>
      <c r="B151" s="3">
        <v>3.0920000000000001</v>
      </c>
    </row>
    <row r="152" spans="1:2" x14ac:dyDescent="0.25">
      <c r="A152">
        <v>126</v>
      </c>
      <c r="B152" s="3">
        <v>3.0950000000000002</v>
      </c>
    </row>
    <row r="153" spans="1:2" x14ac:dyDescent="0.25">
      <c r="A153">
        <v>127</v>
      </c>
      <c r="B153" s="3">
        <v>3.097</v>
      </c>
    </row>
    <row r="154" spans="1:2" x14ac:dyDescent="0.25">
      <c r="A154">
        <v>128</v>
      </c>
      <c r="B154" s="3">
        <v>3.1</v>
      </c>
    </row>
    <row r="155" spans="1:2" x14ac:dyDescent="0.25">
      <c r="A155">
        <v>129</v>
      </c>
      <c r="B155" s="3">
        <v>3.1019999999999999</v>
      </c>
    </row>
    <row r="156" spans="1:2" x14ac:dyDescent="0.25">
      <c r="A156">
        <v>130</v>
      </c>
      <c r="B156" s="3">
        <v>3.1040000000000001</v>
      </c>
    </row>
    <row r="157" spans="1:2" x14ac:dyDescent="0.25">
      <c r="A157">
        <v>131</v>
      </c>
      <c r="B157" s="3">
        <v>3.1070000000000002</v>
      </c>
    </row>
    <row r="158" spans="1:2" x14ac:dyDescent="0.25">
      <c r="A158">
        <v>132</v>
      </c>
      <c r="B158" s="3">
        <v>3.109</v>
      </c>
    </row>
    <row r="159" spans="1:2" x14ac:dyDescent="0.25">
      <c r="A159">
        <v>133</v>
      </c>
      <c r="B159" s="3">
        <v>3.1120000000000001</v>
      </c>
    </row>
    <row r="160" spans="1:2" x14ac:dyDescent="0.25">
      <c r="A160">
        <v>134</v>
      </c>
      <c r="B160" s="3">
        <v>3.1139999999999999</v>
      </c>
    </row>
    <row r="161" spans="1:2" x14ac:dyDescent="0.25">
      <c r="A161">
        <v>135</v>
      </c>
      <c r="B161" s="3">
        <v>3.1160000000000001</v>
      </c>
    </row>
    <row r="162" spans="1:2" x14ac:dyDescent="0.25">
      <c r="A162">
        <v>136</v>
      </c>
      <c r="B162" s="3">
        <v>3.1190000000000002</v>
      </c>
    </row>
    <row r="163" spans="1:2" x14ac:dyDescent="0.25">
      <c r="A163">
        <v>137</v>
      </c>
      <c r="B163" s="3">
        <v>3.1219999999999999</v>
      </c>
    </row>
    <row r="164" spans="1:2" x14ac:dyDescent="0.25">
      <c r="A164">
        <v>138</v>
      </c>
      <c r="B164" s="3">
        <v>3.1240000000000001</v>
      </c>
    </row>
    <row r="165" spans="1:2" x14ac:dyDescent="0.25">
      <c r="A165">
        <v>139</v>
      </c>
      <c r="B165" s="3">
        <v>3.1259999999999999</v>
      </c>
    </row>
    <row r="166" spans="1:2" x14ac:dyDescent="0.25">
      <c r="A166">
        <v>140</v>
      </c>
      <c r="B166" s="3">
        <v>3.129</v>
      </c>
    </row>
    <row r="167" spans="1:2" x14ac:dyDescent="0.25">
      <c r="A167">
        <v>141</v>
      </c>
      <c r="B167" s="3">
        <v>3.1309999999999998</v>
      </c>
    </row>
    <row r="168" spans="1:2" x14ac:dyDescent="0.25">
      <c r="A168">
        <v>142</v>
      </c>
      <c r="B168" s="3">
        <v>3.133</v>
      </c>
    </row>
    <row r="169" spans="1:2" x14ac:dyDescent="0.25">
      <c r="A169">
        <v>143</v>
      </c>
      <c r="B169" s="3">
        <v>3.1349999999999998</v>
      </c>
    </row>
    <row r="170" spans="1:2" x14ac:dyDescent="0.25">
      <c r="A170">
        <v>144</v>
      </c>
      <c r="B170" s="3">
        <v>3.1379999999999999</v>
      </c>
    </row>
    <row r="171" spans="1:2" x14ac:dyDescent="0.25">
      <c r="A171">
        <v>145</v>
      </c>
      <c r="B171" s="3">
        <v>3.14</v>
      </c>
    </row>
    <row r="172" spans="1:2" x14ac:dyDescent="0.25">
      <c r="A172">
        <v>146</v>
      </c>
      <c r="B172" s="3">
        <v>3.1419999999999999</v>
      </c>
    </row>
    <row r="173" spans="1:2" x14ac:dyDescent="0.25">
      <c r="A173">
        <v>147</v>
      </c>
      <c r="B173" s="3">
        <v>3.1440000000000001</v>
      </c>
    </row>
    <row r="174" spans="1:2" x14ac:dyDescent="0.25">
      <c r="A174">
        <v>148</v>
      </c>
      <c r="B174" s="3">
        <v>3.1459999999999999</v>
      </c>
    </row>
    <row r="175" spans="1:2" x14ac:dyDescent="0.25">
      <c r="A175">
        <v>149</v>
      </c>
      <c r="B175" s="3">
        <v>3.1480000000000001</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buttons</vt:lpstr>
      <vt:lpstr>get data</vt:lpstr>
      <vt:lpstr>basic data</vt:lpstr>
      <vt:lpstr>output</vt:lpstr>
      <vt:lpstr>Plate I</vt:lpstr>
      <vt:lpstr>points</vt:lpstr>
      <vt:lpstr>curves</vt:lpstr>
      <vt:lpstr>scale</vt:lpstr>
      <vt:lpstr>K values</vt:lpstr>
      <vt:lpstr>freq curve</vt:lpstr>
    </vt:vector>
  </TitlesOfParts>
  <Company>USDA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Moore</dc:creator>
  <dc:description>email: dan.moore@por.usda.gov</dc:description>
  <cp:lastModifiedBy>Duce, Carson Ryder</cp:lastModifiedBy>
  <cp:lastPrinted>2014-01-22T20:32:19Z</cp:lastPrinted>
  <dcterms:created xsi:type="dcterms:W3CDTF">2002-02-25T23:56:41Z</dcterms:created>
  <dcterms:modified xsi:type="dcterms:W3CDTF">2023-11-07T21:28:25Z</dcterms:modified>
</cp:coreProperties>
</file>